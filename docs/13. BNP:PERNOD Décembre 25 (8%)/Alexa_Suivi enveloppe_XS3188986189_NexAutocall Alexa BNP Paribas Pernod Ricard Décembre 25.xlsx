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3. BNP&amp;#x3a;PERNOD Décembre 25 (8%)/"/>
    </mc:Choice>
  </mc:AlternateContent>
  <xr:revisionPtr revIDLastSave="97" documentId="13_ncr:1_{3D0DFC1C-FF32-C643-979B-DDDF3CD855BB}" xr6:coauthVersionLast="47" xr6:coauthVersionMax="47" xr10:uidLastSave="{790A3CD5-BA76-5844-A380-5F80E60C7294}"/>
  <bookViews>
    <workbookView xWindow="0" yWindow="780" windowWidth="34200" windowHeight="21100" xr2:uid="{EE1CEB3C-BF88-4539-9AD6-83DF8278D958}"/>
  </bookViews>
  <sheets>
    <sheet name="XS318898618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C7" i="1" l="1"/>
  <c r="G3" i="1"/>
  <c r="F4" i="1"/>
  <c r="F6" i="1" l="1"/>
  <c r="B9" i="1"/>
</calcChain>
</file>

<file path=xl/sharedStrings.xml><?xml version="1.0" encoding="utf-8"?>
<sst xmlns="http://schemas.openxmlformats.org/spreadsheetml/2006/main" count="83" uniqueCount="38">
  <si>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</si>
  <si>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</si>
  <si>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</si>
  <si>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</si>
  <si>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</si>
  <si>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</si>
  <si>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</si>
  <si>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</si>
  <si>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</si>
  <si>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</si>
  <si>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</si>
  <si>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</si>
  <si>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</si>
  <si>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</si>
  <si>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</si>
  <si>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</si>
  <si>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</si>
  <si>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</si>
  <si>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</si>
  <si>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</si>
  <si>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</si>
  <si>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CTO NORTIA</t>
  </si>
  <si>
    <t>AEH</t>
  </si>
  <si>
    <t>Sophie Monteil</t>
  </si>
  <si>
    <t>Frais ok ?</t>
  </si>
  <si>
    <t>100% de l'objectif</t>
  </si>
  <si>
    <t>XS3188986189</t>
  </si>
  <si>
    <t>NexAutocall Alexa BNP Paribas Pernod Ricard Décembre 2025</t>
  </si>
  <si>
    <t>Romain Payet</t>
  </si>
  <si>
    <t>Huyghe JL</t>
  </si>
  <si>
    <t>ROSPARS Michel</t>
  </si>
  <si>
    <t>LAUSIN Odile</t>
  </si>
  <si>
    <t>JUN clotilde</t>
  </si>
  <si>
    <t>MALAPERT Léa</t>
  </si>
  <si>
    <t>Vincent DUPOUY</t>
  </si>
  <si>
    <t>OUI</t>
  </si>
  <si>
    <t>Charlotte PAYET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</si>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</sst>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[$€-40C]_-;\-* #,##0.00\ [$€-40C]_-;_-* &quot;-&quot;??\ [$€-40C]_-;_-@_-"/>
    <numFmt numFmtId="166" formatCode="#,##0&quot;€&quot;"/>
    <numFmt numFmtId="167" formatCode="#,##0&quot;€&quot;;\(#,##0&quot;€&quot;\);\-"/>
    <numFmt numFmtId="168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6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6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7" fontId="5" fillId="0" borderId="10" xfId="0" applyNumberFormat="1" applyFont="1" applyBorder="1" applyAlignment="1">
      <alignment horizontal="left" vertical="center"/>
    </xf>
    <xf numFmtId="167" fontId="5" fillId="0" borderId="12" xfId="0" applyNumberFormat="1" applyFont="1" applyBorder="1" applyAlignment="1">
      <alignment horizontal="left" vertical="center"/>
    </xf>
    <xf numFmtId="167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7" fontId="5" fillId="3" borderId="23" xfId="0" applyNumberFormat="1" applyFont="1" applyFill="1" applyBorder="1" applyAlignment="1">
      <alignment horizontal="center" vertical="center"/>
    </xf>
    <xf numFmtId="167" fontId="5" fillId="0" borderId="23" xfId="0" applyNumberFormat="1" applyFont="1" applyBorder="1" applyAlignment="1">
      <alignment horizontal="center" vertical="center"/>
    </xf>
    <xf numFmtId="167" fontId="5" fillId="0" borderId="24" xfId="0" applyNumberFormat="1" applyFont="1" applyBorder="1" applyAlignment="1">
      <alignment horizontal="center" vertical="center"/>
    </xf>
    <xf numFmtId="167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6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166" fontId="0" fillId="3" borderId="0" xfId="0" applyNumberFormat="1" applyFill="1" applyAlignment="1">
      <alignment horizontal="center" vertical="center" wrapText="1"/>
    </xf>
    <xf numFmtId="168" fontId="6" fillId="0" borderId="11" xfId="2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65" fontId="0" fillId="5" borderId="0" xfId="0" applyNumberFormat="1" applyFill="1" applyAlignment="1">
      <alignment horizontal="center" vertical="center" wrapText="1"/>
    </xf>
    <xf numFmtId="166" fontId="3" fillId="5" borderId="0" xfId="0" applyNumberFormat="1" applyFont="1" applyFill="1" applyAlignment="1">
      <alignment horizontal="center" vertical="center" wrapText="1"/>
    </xf>
    <xf numFmtId="14" fontId="3" fillId="5" borderId="0" xfId="0" applyNumberFormat="1" applyFont="1" applyFill="1" applyAlignment="1">
      <alignment horizontal="center" vertical="center" wrapText="1"/>
    </xf>
    <xf numFmtId="165" fontId="3" fillId="5" borderId="0" xfId="0" applyNumberFormat="1" applyFont="1" applyFill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I28" sqref="I28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0" t="s">
        <v>26</v>
      </c>
      <c r="E2" s="3"/>
      <c r="F2" s="28" t="s">
        <v>12</v>
      </c>
      <c r="G2" s="21" t="s">
        <v>13</v>
      </c>
    </row>
    <row r="3" spans="2:10" s="2" customFormat="1" ht="16" customHeight="1" thickBot="1" x14ac:dyDescent="0.25">
      <c r="B3" s="4" t="s">
        <v>2</v>
      </c>
      <c r="C3" s="7" t="s">
        <v>27</v>
      </c>
      <c r="E3" s="25" t="s">
        <v>16</v>
      </c>
      <c r="F3" s="29">
        <f>500000-15000-25000-206000</f>
        <v>254000</v>
      </c>
      <c r="G3" s="42">
        <f>F5-F3</f>
        <v>0</v>
      </c>
    </row>
    <row r="4" spans="2:10" s="2" customFormat="1" ht="16" customHeight="1" x14ac:dyDescent="0.2">
      <c r="B4" s="4" t="s">
        <v>0</v>
      </c>
      <c r="C4" s="8">
        <v>46006</v>
      </c>
      <c r="E4" s="25" t="s">
        <v>8</v>
      </c>
      <c r="F4" s="30">
        <f>SUM(D11:D36)</f>
        <v>436000</v>
      </c>
      <c r="G4" s="22" t="s">
        <v>25</v>
      </c>
    </row>
    <row r="5" spans="2:10" s="2" customFormat="1" ht="16" customHeight="1" x14ac:dyDescent="0.2">
      <c r="B5" s="4" t="s">
        <v>14</v>
      </c>
      <c r="C5" s="8" t="s">
        <v>18</v>
      </c>
      <c r="E5" s="26" t="s">
        <v>9</v>
      </c>
      <c r="F5" s="31">
        <f>SUM(F11:F36)</f>
        <v>254000</v>
      </c>
      <c r="G5" s="23" t="s">
        <v>25</v>
      </c>
    </row>
    <row r="6" spans="2:10" s="2" customFormat="1" ht="16" customHeight="1" thickBot="1" x14ac:dyDescent="0.25">
      <c r="B6" s="4" t="s">
        <v>3</v>
      </c>
      <c r="C6" s="39">
        <v>8.0399999999999999E-2</v>
      </c>
      <c r="E6" s="27" t="s">
        <v>11</v>
      </c>
      <c r="F6" s="32">
        <f>F5</f>
        <v>254000</v>
      </c>
      <c r="G6" s="24" t="s">
        <v>25</v>
      </c>
    </row>
    <row r="7" spans="2:10" s="2" customFormat="1" ht="16" customHeight="1" thickBot="1" x14ac:dyDescent="0.25">
      <c r="B7" s="5" t="s">
        <v>10</v>
      </c>
      <c r="C7" s="9">
        <f>500000-206000</f>
        <v>294000</v>
      </c>
    </row>
    <row r="8" spans="2:10" s="2" customFormat="1" ht="16" customHeight="1" thickBot="1" x14ac:dyDescent="0.25"/>
    <row r="9" spans="2:10" s="2" customFormat="1" ht="16" customHeight="1" thickBot="1" x14ac:dyDescent="0.25">
      <c r="B9" s="50" t="str">
        <f>"Suivi des intentions de souscription et des sousciptions réelles du produit " &amp;C3 &amp;" Code ISIN " &amp;C2</f>
        <v>Suivi des intentions de souscription et des sousciptions réelles du produit NexAutocall Alexa BNP Paribas Pernod Ricard Décembre 2025 Code ISIN XS3188986189</v>
      </c>
      <c r="C9" s="51"/>
      <c r="D9" s="51"/>
      <c r="E9" s="51"/>
      <c r="F9" s="51"/>
      <c r="G9" s="51"/>
      <c r="H9" s="51"/>
      <c r="I9" s="51"/>
      <c r="J9" s="52"/>
    </row>
    <row r="10" spans="2:10" s="2" customFormat="1" ht="28" customHeight="1" thickBot="1" x14ac:dyDescent="0.25">
      <c r="B10" s="10" t="s">
        <v>4</v>
      </c>
      <c r="C10" s="11" t="s">
        <v>17</v>
      </c>
      <c r="D10" s="11" t="s">
        <v>5</v>
      </c>
      <c r="E10" s="12" t="s">
        <v>6</v>
      </c>
      <c r="F10" s="12" t="s">
        <v>15</v>
      </c>
      <c r="G10" s="12" t="s">
        <v>7</v>
      </c>
      <c r="H10" s="12" t="s">
        <v>19</v>
      </c>
      <c r="I10" s="12" t="s">
        <v>20</v>
      </c>
      <c r="J10" s="13" t="s">
        <v>24</v>
      </c>
    </row>
    <row r="11" spans="2:10" s="2" customFormat="1" ht="16" customHeight="1" x14ac:dyDescent="0.2">
      <c r="B11" s="43" t="s">
        <v>21</v>
      </c>
      <c r="C11" s="44" t="s">
        <v>23</v>
      </c>
      <c r="D11" s="34">
        <v>250000</v>
      </c>
      <c r="E11" s="35" t="s">
        <v>35</v>
      </c>
      <c r="F11" s="34">
        <v>100000</v>
      </c>
      <c r="G11" s="36">
        <v>45992</v>
      </c>
      <c r="H11" s="35" t="s">
        <v>35</v>
      </c>
      <c r="I11" s="35" t="s">
        <v>35</v>
      </c>
      <c r="J11" s="15" t="s">
        <v>35</v>
      </c>
    </row>
    <row r="12" spans="2:10" s="2" customFormat="1" ht="16" customHeight="1" x14ac:dyDescent="0.2">
      <c r="B12" s="14" t="s">
        <v>21</v>
      </c>
      <c r="C12" s="33" t="s">
        <v>28</v>
      </c>
      <c r="D12" s="34">
        <v>45000</v>
      </c>
      <c r="E12" s="35" t="s">
        <v>35</v>
      </c>
      <c r="F12" s="41">
        <v>25000</v>
      </c>
      <c r="G12" s="36">
        <v>45992</v>
      </c>
      <c r="H12" s="35" t="s">
        <v>35</v>
      </c>
      <c r="I12" s="35" t="s">
        <v>35</v>
      </c>
      <c r="J12" s="15" t="s">
        <v>35</v>
      </c>
    </row>
    <row r="13" spans="2:10" s="2" customFormat="1" ht="16" customHeight="1" x14ac:dyDescent="0.2">
      <c r="B13" s="14" t="s">
        <v>21</v>
      </c>
      <c r="C13" s="33" t="s">
        <v>22</v>
      </c>
      <c r="D13" s="34">
        <v>65000</v>
      </c>
      <c r="E13" s="35" t="s">
        <v>35</v>
      </c>
      <c r="F13" s="41">
        <v>65000</v>
      </c>
      <c r="G13" s="36">
        <v>46005</v>
      </c>
      <c r="H13" s="35" t="s">
        <v>35</v>
      </c>
      <c r="I13" s="35" t="s">
        <v>35</v>
      </c>
      <c r="J13" s="15" t="s">
        <v>35</v>
      </c>
    </row>
    <row r="14" spans="2:10" s="2" customFormat="1" ht="16" customHeight="1" x14ac:dyDescent="0.2">
      <c r="B14" s="14" t="s">
        <v>21</v>
      </c>
      <c r="C14" s="33" t="s">
        <v>29</v>
      </c>
      <c r="D14" s="34">
        <v>10000</v>
      </c>
      <c r="E14" s="35" t="s">
        <v>35</v>
      </c>
      <c r="F14" s="34">
        <v>10000</v>
      </c>
      <c r="G14" s="36">
        <v>45994</v>
      </c>
      <c r="H14" s="35" t="s">
        <v>35</v>
      </c>
      <c r="I14" s="35"/>
      <c r="J14" s="15" t="s">
        <v>35</v>
      </c>
    </row>
    <row r="15" spans="2:10" s="2" customFormat="1" ht="16" customHeight="1" x14ac:dyDescent="0.2">
      <c r="B15" s="14" t="s">
        <v>21</v>
      </c>
      <c r="C15" s="33" t="s">
        <v>36</v>
      </c>
      <c r="D15" s="34">
        <v>6000</v>
      </c>
      <c r="E15" s="35" t="s">
        <v>35</v>
      </c>
      <c r="F15" s="34">
        <v>6000</v>
      </c>
      <c r="G15" s="36">
        <v>45999</v>
      </c>
      <c r="H15" s="35" t="s">
        <v>35</v>
      </c>
      <c r="I15" s="35" t="s">
        <v>35</v>
      </c>
      <c r="J15" s="15" t="s">
        <v>35</v>
      </c>
    </row>
    <row r="16" spans="2:10" s="2" customFormat="1" ht="16" customHeight="1" x14ac:dyDescent="0.2">
      <c r="B16" s="14" t="s">
        <v>21</v>
      </c>
      <c r="C16" s="33" t="s">
        <v>34</v>
      </c>
      <c r="D16" s="34">
        <v>9000</v>
      </c>
      <c r="E16" s="35" t="s">
        <v>35</v>
      </c>
      <c r="F16" s="34">
        <v>9000</v>
      </c>
      <c r="G16" s="36">
        <v>45989</v>
      </c>
      <c r="H16" s="35" t="s">
        <v>35</v>
      </c>
      <c r="I16" s="35" t="s">
        <v>35</v>
      </c>
      <c r="J16" s="15" t="s">
        <v>35</v>
      </c>
    </row>
    <row r="17" spans="2:10" s="2" customFormat="1" ht="16" customHeight="1" x14ac:dyDescent="0.2">
      <c r="B17" s="14" t="s">
        <v>21</v>
      </c>
      <c r="C17" s="33" t="s">
        <v>30</v>
      </c>
      <c r="D17" s="34">
        <v>9000</v>
      </c>
      <c r="E17" s="35" t="s">
        <v>35</v>
      </c>
      <c r="F17" s="34">
        <v>9000</v>
      </c>
      <c r="G17" s="36">
        <v>46001</v>
      </c>
      <c r="H17" s="35" t="s">
        <v>35</v>
      </c>
      <c r="I17" s="35" t="s">
        <v>35</v>
      </c>
      <c r="J17" s="15" t="s">
        <v>37</v>
      </c>
    </row>
    <row r="18" spans="2:10" s="2" customFormat="1" ht="16" customHeight="1" x14ac:dyDescent="0.2">
      <c r="B18" s="14" t="s">
        <v>21</v>
      </c>
      <c r="C18" s="33" t="s">
        <v>31</v>
      </c>
      <c r="D18" s="41">
        <v>12000</v>
      </c>
      <c r="E18" s="45" t="s">
        <v>35</v>
      </c>
      <c r="F18" s="46">
        <v>0</v>
      </c>
      <c r="G18" s="47"/>
      <c r="H18" s="48"/>
      <c r="I18" s="48"/>
      <c r="J18" s="49"/>
    </row>
    <row r="19" spans="2:10" s="2" customFormat="1" ht="16" customHeight="1" x14ac:dyDescent="0.2">
      <c r="B19" s="14" t="s">
        <v>21</v>
      </c>
      <c r="C19" s="33" t="s">
        <v>32</v>
      </c>
      <c r="D19" s="34">
        <v>15000</v>
      </c>
      <c r="E19" s="35" t="s">
        <v>35</v>
      </c>
      <c r="F19" s="34">
        <v>15000</v>
      </c>
      <c r="G19" s="36">
        <v>46002</v>
      </c>
      <c r="H19" s="35" t="s">
        <v>35</v>
      </c>
      <c r="I19" s="35" t="s">
        <v>35</v>
      </c>
      <c r="J19" s="15" t="s">
        <v>35</v>
      </c>
    </row>
    <row r="20" spans="2:10" s="2" customFormat="1" ht="16" customHeight="1" x14ac:dyDescent="0.2">
      <c r="B20" s="14" t="s">
        <v>21</v>
      </c>
      <c r="C20" s="33" t="s">
        <v>33</v>
      </c>
      <c r="D20" s="34">
        <v>15000</v>
      </c>
      <c r="E20" s="35" t="s">
        <v>35</v>
      </c>
      <c r="F20" s="34">
        <v>15000</v>
      </c>
      <c r="G20" s="36">
        <v>45992</v>
      </c>
      <c r="H20" s="35" t="s">
        <v>35</v>
      </c>
      <c r="I20" s="35" t="s">
        <v>35</v>
      </c>
      <c r="J20" s="15" t="s">
        <v>35</v>
      </c>
    </row>
    <row r="21" spans="2:10" s="2" customFormat="1" ht="16" customHeight="1" x14ac:dyDescent="0.2">
      <c r="B21" s="14"/>
      <c r="C21" s="33"/>
      <c r="D21" s="34"/>
      <c r="E21" s="35"/>
      <c r="F21" s="34"/>
      <c r="G21" s="36"/>
      <c r="H21" s="35"/>
      <c r="I21" s="35"/>
      <c r="J21" s="15"/>
    </row>
    <row r="22" spans="2:10" s="2" customFormat="1" ht="16" customHeight="1" x14ac:dyDescent="0.2">
      <c r="B22" s="14"/>
      <c r="C22" s="33"/>
      <c r="D22" s="34"/>
      <c r="E22" s="35"/>
      <c r="F22" s="34"/>
      <c r="G22" s="36"/>
      <c r="H22" s="35"/>
      <c r="I22" s="35"/>
      <c r="J22" s="15"/>
    </row>
    <row r="23" spans="2:10" s="2" customFormat="1" ht="16" customHeight="1" x14ac:dyDescent="0.2">
      <c r="B23" s="14"/>
      <c r="C23" s="33"/>
      <c r="D23" s="34"/>
      <c r="E23" s="37"/>
      <c r="F23" s="34"/>
      <c r="G23" s="36"/>
      <c r="H23" s="37"/>
      <c r="I23" s="37"/>
      <c r="J23" s="15"/>
    </row>
    <row r="24" spans="2:10" s="2" customFormat="1" ht="16" customHeight="1" x14ac:dyDescent="0.2">
      <c r="B24" s="14"/>
      <c r="C24" s="33"/>
      <c r="D24" s="34"/>
      <c r="E24" s="37"/>
      <c r="F24" s="34"/>
      <c r="G24" s="36"/>
      <c r="H24" s="37"/>
      <c r="I24" s="37"/>
      <c r="J24" s="15"/>
    </row>
    <row r="25" spans="2:10" s="2" customFormat="1" ht="16" customHeight="1" x14ac:dyDescent="0.2">
      <c r="B25" s="14"/>
      <c r="C25" s="33"/>
      <c r="D25" s="34"/>
      <c r="E25" s="37"/>
      <c r="F25" s="34"/>
      <c r="G25" s="36"/>
      <c r="H25" s="37"/>
      <c r="I25" s="37"/>
      <c r="J25" s="15"/>
    </row>
    <row r="26" spans="2:10" s="2" customFormat="1" ht="16" customHeight="1" x14ac:dyDescent="0.2">
      <c r="B26" s="14"/>
      <c r="C26" s="33"/>
      <c r="D26" s="34"/>
      <c r="E26" s="37"/>
      <c r="F26" s="34"/>
      <c r="G26" s="36"/>
      <c r="H26" s="37"/>
      <c r="I26" s="37"/>
      <c r="J26" s="15"/>
    </row>
    <row r="27" spans="2:10" s="2" customFormat="1" ht="16" customHeight="1" x14ac:dyDescent="0.2">
      <c r="B27" s="14"/>
      <c r="C27" s="33"/>
      <c r="D27" s="34"/>
      <c r="E27" s="37"/>
      <c r="F27" s="34"/>
      <c r="G27" s="36"/>
      <c r="H27" s="37"/>
      <c r="I27" s="37"/>
      <c r="J27" s="15"/>
    </row>
    <row r="28" spans="2:10" s="2" customFormat="1" ht="16" customHeight="1" x14ac:dyDescent="0.2">
      <c r="B28" s="14"/>
      <c r="C28" s="33"/>
      <c r="D28" s="34"/>
      <c r="E28" s="37"/>
      <c r="F28" s="34"/>
      <c r="G28" s="36"/>
      <c r="H28" s="37"/>
      <c r="I28" s="37"/>
      <c r="J28" s="15"/>
    </row>
    <row r="29" spans="2:10" s="2" customFormat="1" ht="16" customHeight="1" x14ac:dyDescent="0.2">
      <c r="B29" s="14"/>
      <c r="C29" s="33"/>
      <c r="D29" s="34"/>
      <c r="E29" s="37"/>
      <c r="F29" s="34"/>
      <c r="G29" s="36"/>
      <c r="H29" s="37"/>
      <c r="I29" s="37"/>
      <c r="J29" s="15"/>
    </row>
    <row r="30" spans="2:10" s="2" customFormat="1" ht="16" customHeight="1" x14ac:dyDescent="0.2">
      <c r="B30" s="14"/>
      <c r="C30" s="33"/>
      <c r="D30" s="34"/>
      <c r="E30" s="37"/>
      <c r="F30" s="34"/>
      <c r="G30" s="36"/>
      <c r="H30" s="37"/>
      <c r="I30" s="37"/>
      <c r="J30" s="15"/>
    </row>
    <row r="31" spans="2:10" s="2" customFormat="1" ht="16" customHeight="1" x14ac:dyDescent="0.2">
      <c r="B31" s="14"/>
      <c r="C31" s="33"/>
      <c r="D31" s="34"/>
      <c r="E31" s="37"/>
      <c r="F31" s="34"/>
      <c r="G31" s="36"/>
      <c r="H31" s="37"/>
      <c r="I31" s="37"/>
      <c r="J31" s="15"/>
    </row>
    <row r="32" spans="2:10" s="2" customFormat="1" ht="16" customHeight="1" x14ac:dyDescent="0.2">
      <c r="B32" s="14"/>
      <c r="C32" s="33"/>
      <c r="D32" s="34"/>
      <c r="E32" s="37"/>
      <c r="F32" s="34"/>
      <c r="G32" s="36"/>
      <c r="H32" s="37"/>
      <c r="I32" s="37"/>
      <c r="J32" s="15"/>
    </row>
    <row r="33" spans="2:10" s="2" customFormat="1" ht="16" customHeight="1" x14ac:dyDescent="0.2">
      <c r="B33" s="14"/>
      <c r="C33" s="33"/>
      <c r="D33" s="34"/>
      <c r="E33" s="37"/>
      <c r="F33" s="34"/>
      <c r="G33" s="36"/>
      <c r="H33" s="37"/>
      <c r="I33" s="37"/>
      <c r="J33" s="15"/>
    </row>
    <row r="34" spans="2:10" s="2" customFormat="1" ht="16" customHeight="1" x14ac:dyDescent="0.2">
      <c r="B34" s="14"/>
      <c r="C34" s="33"/>
      <c r="D34" s="34"/>
      <c r="E34" s="37"/>
      <c r="F34" s="34"/>
      <c r="G34" s="36"/>
      <c r="H34" s="37"/>
      <c r="I34" s="37"/>
      <c r="J34" s="15"/>
    </row>
    <row r="35" spans="2:10" s="2" customFormat="1" ht="16" customHeight="1" x14ac:dyDescent="0.2">
      <c r="B35" s="14"/>
      <c r="C35" s="33"/>
      <c r="D35" s="34"/>
      <c r="E35" s="37"/>
      <c r="F35" s="34"/>
      <c r="G35" s="36"/>
      <c r="H35" s="37"/>
      <c r="I35" s="37"/>
      <c r="J35" s="15"/>
    </row>
    <row r="36" spans="2:10" s="2" customFormat="1" ht="16" customHeight="1" thickBot="1" x14ac:dyDescent="0.25">
      <c r="B36" s="38"/>
      <c r="C36" s="17"/>
      <c r="D36" s="18"/>
      <c r="E36" s="16"/>
      <c r="F36" s="18"/>
      <c r="G36" s="19"/>
      <c r="H36" s="16"/>
      <c r="I36" s="16"/>
      <c r="J36" s="20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6 H11:J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A573D-D325-4F76-8529-382B36F0D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schemas.microsoft.com/office/infopath/2007/PartnerControls"/>
    <ds:schemaRef ds:uri="400ac3ce-c123-42d0-bfaf-41f6bbf712cc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c73c546d-5213-4354-8753-20c3f93ccee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XS3188986189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2025-12-31T03:39:03Z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