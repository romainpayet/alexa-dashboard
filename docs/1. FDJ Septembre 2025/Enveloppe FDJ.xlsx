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2. Enveloppes et Fiches Produits/1. FDJ Septembre 2025/"/>
    </mc:Choice>
  </mc:AlternateContent>
  <xr:revisionPtr revIDLastSave="12" documentId="8_{637C9829-2A7A-4953-99D8-ED5E9AEEE21C}" xr6:coauthVersionLast="47" xr6:coauthVersionMax="47" xr10:uidLastSave="{E003BE84-1997-0942-BF15-F713299AE8B6}"/>
  <bookViews>
    <workbookView xWindow="0" yWindow="500" windowWidth="25600" windowHeight="15500" xr2:uid="{B0A79F46-9771-4AB2-B581-F48924349D16}"/>
  </bookViews>
  <sheets>
    <sheet name="Feuil1" sheetId="1" r:id="rId1"/>
  </sheets>
  <definedNames>
    <definedName name="_xlnm._FilterDatabase" localSheetId="0" hidden="1">Feuil1!$B$10:$I$23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G5" i="1"/>
  <c r="F5" i="1"/>
  <c r="G4" i="1"/>
  <c r="F4" i="1"/>
  <c r="G3" i="1"/>
  <c r="F3" i="1"/>
  <c r="H3" i="1" s="1"/>
  <c r="I3" i="1" s="1"/>
  <c r="H4" i="1" l="1"/>
  <c r="I4" i="1" s="1"/>
  <c r="H5" i="1"/>
  <c r="I5" i="1" s="1"/>
  <c r="J4" i="1" l="1"/>
</calcChain>
</file>

<file path=xl/sharedStrings.xml><?xml version="1.0" encoding="utf-8"?>
<sst xmlns="http://schemas.openxmlformats.org/spreadsheetml/2006/main" count="70" uniqueCount="39">
  <si>
    <t xml:space="preserve">ISIN </t>
  </si>
  <si>
    <t>XS3126979049</t>
  </si>
  <si>
    <t>ALEXA</t>
  </si>
  <si>
    <t>WLC</t>
  </si>
  <si>
    <t>TOTAL</t>
  </si>
  <si>
    <t>%</t>
  </si>
  <si>
    <t xml:space="preserve">Nom Produit </t>
  </si>
  <si>
    <t>ATHENA TRIMESTRIEL FDJ D2.05 SEPTEMBRE 2025</t>
  </si>
  <si>
    <t xml:space="preserve">TOTAL Intentions </t>
  </si>
  <si>
    <t>Strike</t>
  </si>
  <si>
    <t>TOTAL Versé</t>
  </si>
  <si>
    <t>Partenaire</t>
  </si>
  <si>
    <t>IRBIS</t>
  </si>
  <si>
    <t>TOTAL Validé</t>
  </si>
  <si>
    <t>Coupon Annuel</t>
  </si>
  <si>
    <t>Objectif de collecte</t>
  </si>
  <si>
    <t xml:space="preserve">Nom Client </t>
  </si>
  <si>
    <t xml:space="preserve">Entité </t>
  </si>
  <si>
    <t xml:space="preserve">Contrat </t>
  </si>
  <si>
    <t xml:space="preserve">Montant intention </t>
  </si>
  <si>
    <t>Versement fait ?</t>
  </si>
  <si>
    <t>Date de versement</t>
  </si>
  <si>
    <t>Versement arrivé sur contrat ?</t>
  </si>
  <si>
    <t>Date d'arrivée sur contrat</t>
  </si>
  <si>
    <t>Charlie verbruggen</t>
  </si>
  <si>
    <t>CTO NORTIA</t>
  </si>
  <si>
    <t>OUI</t>
  </si>
  <si>
    <t xml:space="preserve">GMS INVESTISSEMNT </t>
  </si>
  <si>
    <t>compagnie de gestion d’aquitaine</t>
  </si>
  <si>
    <t>GHIZZARDI</t>
  </si>
  <si>
    <t>LASCAR PIERRE</t>
  </si>
  <si>
    <t xml:space="preserve">DOUGLAS LEVY </t>
  </si>
  <si>
    <t xml:space="preserve">GIUNTA JEAN CHARLES </t>
  </si>
  <si>
    <t>BELLOIS</t>
  </si>
  <si>
    <t>Laurent Simoni</t>
  </si>
  <si>
    <t>Bousquet Hubert </t>
  </si>
  <si>
    <t>Jérémy Maillet</t>
  </si>
  <si>
    <t>Bousquet </t>
  </si>
  <si>
    <t>LMR Finances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</si>
</sst>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€&quot;;\(#,##0&quot;€&quot;\);\-"/>
    <numFmt numFmtId="165" formatCode="_-* #,##0.00\ [$€-40C]_-;\-* #,##0.00\ [$€-40C]_-;_-* &quot;-&quot;??\ [$€-40C]_-;_-@_-"/>
    <numFmt numFmtId="166" formatCode="#,##0&quot;€&quot;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30">
    <border>
      <left/>
      <right/>
      <top/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164" fontId="4" fillId="0" borderId="9" xfId="0" applyNumberFormat="1" applyFont="1" applyBorder="1" applyAlignment="1">
      <alignment horizontal="left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9" fontId="5" fillId="0" borderId="5" xfId="1" applyFont="1" applyFill="1" applyBorder="1" applyAlignment="1">
      <alignment horizontal="left" vertical="center"/>
    </xf>
    <xf numFmtId="14" fontId="1" fillId="3" borderId="8" xfId="0" applyNumberFormat="1" applyFont="1" applyFill="1" applyBorder="1" applyAlignment="1">
      <alignment horizontal="left" vertical="center" wrapText="1"/>
    </xf>
    <xf numFmtId="164" fontId="4" fillId="0" borderId="11" xfId="0" applyNumberFormat="1" applyFont="1" applyBorder="1" applyAlignment="1">
      <alignment horizontal="left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9" fontId="5" fillId="0" borderId="13" xfId="1" applyFont="1" applyFill="1" applyBorder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 wrapText="1"/>
    </xf>
    <xf numFmtId="164" fontId="6" fillId="4" borderId="14" xfId="0" applyNumberFormat="1" applyFont="1" applyFill="1" applyBorder="1" applyAlignment="1">
      <alignment horizontal="left" vertical="center"/>
    </xf>
    <xf numFmtId="164" fontId="6" fillId="4" borderId="15" xfId="0" applyNumberFormat="1" applyFont="1" applyFill="1" applyBorder="1" applyAlignment="1">
      <alignment horizontal="center" vertical="center"/>
    </xf>
    <xf numFmtId="164" fontId="6" fillId="4" borderId="16" xfId="0" applyNumberFormat="1" applyFont="1" applyFill="1" applyBorder="1" applyAlignment="1">
      <alignment horizontal="center" vertical="center"/>
    </xf>
    <xf numFmtId="164" fontId="6" fillId="4" borderId="17" xfId="0" applyNumberFormat="1" applyFont="1" applyFill="1" applyBorder="1" applyAlignment="1">
      <alignment horizontal="center" vertical="center"/>
    </xf>
    <xf numFmtId="9" fontId="7" fillId="4" borderId="16" xfId="1" applyFont="1" applyFill="1" applyBorder="1" applyAlignment="1">
      <alignment horizontal="left" vertical="center"/>
    </xf>
    <xf numFmtId="10" fontId="2" fillId="3" borderId="8" xfId="0" applyNumberFormat="1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left" vertical="center" wrapText="1"/>
    </xf>
    <xf numFmtId="165" fontId="2" fillId="3" borderId="19" xfId="0" applyNumberFormat="1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165" fontId="2" fillId="2" borderId="21" xfId="0" applyNumberFormat="1" applyFont="1" applyFill="1" applyBorder="1" applyAlignment="1">
      <alignment horizontal="center" vertical="center" wrapText="1"/>
    </xf>
    <xf numFmtId="165" fontId="2" fillId="2" borderId="22" xfId="0" applyNumberFormat="1" applyFont="1" applyFill="1" applyBorder="1" applyAlignment="1">
      <alignment horizontal="center" vertical="center" wrapText="1"/>
    </xf>
    <xf numFmtId="10" fontId="2" fillId="2" borderId="0" xfId="0" applyNumberFormat="1" applyFont="1" applyFill="1" applyAlignment="1">
      <alignment horizontal="center" vertical="center" wrapText="1"/>
    </xf>
    <xf numFmtId="0" fontId="1" fillId="3" borderId="23" xfId="0" applyFont="1" applyFill="1" applyBorder="1" applyAlignment="1">
      <alignment horizontal="left" vertical="center" wrapText="1"/>
    </xf>
    <xf numFmtId="0" fontId="1" fillId="3" borderId="24" xfId="0" applyFont="1" applyFill="1" applyBorder="1" applyAlignment="1">
      <alignment horizontal="left" vertical="center" wrapText="1"/>
    </xf>
    <xf numFmtId="165" fontId="1" fillId="3" borderId="24" xfId="0" applyNumberFormat="1" applyFont="1" applyFill="1" applyBorder="1" applyAlignment="1">
      <alignment horizontal="center" vertical="center" wrapText="1"/>
    </xf>
    <xf numFmtId="14" fontId="1" fillId="3" borderId="24" xfId="0" applyNumberFormat="1" applyFont="1" applyFill="1" applyBorder="1" applyAlignment="1">
      <alignment horizontal="center" vertical="center" wrapText="1"/>
    </xf>
    <xf numFmtId="14" fontId="1" fillId="3" borderId="10" xfId="0" applyNumberFormat="1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165" fontId="1" fillId="3" borderId="0" xfId="0" applyNumberFormat="1" applyFont="1" applyFill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14" fontId="1" fillId="3" borderId="26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1" fillId="3" borderId="25" xfId="0" applyFont="1" applyFill="1" applyBorder="1" applyAlignment="1">
      <alignment horizontal="left" wrapText="1"/>
    </xf>
    <xf numFmtId="165" fontId="1" fillId="3" borderId="0" xfId="0" applyNumberFormat="1" applyFont="1" applyFill="1" applyAlignment="1">
      <alignment horizontal="center" wrapText="1"/>
    </xf>
    <xf numFmtId="14" fontId="1" fillId="3" borderId="0" xfId="0" applyNumberFormat="1" applyFont="1" applyFill="1" applyAlignment="1">
      <alignment horizontal="center" wrapText="1"/>
    </xf>
    <xf numFmtId="14" fontId="1" fillId="3" borderId="26" xfId="0" applyNumberFormat="1" applyFont="1" applyFill="1" applyBorder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left" vertical="center" wrapText="1"/>
    </xf>
    <xf numFmtId="166" fontId="1" fillId="3" borderId="28" xfId="0" applyNumberFormat="1" applyFont="1" applyFill="1" applyBorder="1" applyAlignment="1">
      <alignment horizontal="center" vertical="center" wrapText="1"/>
    </xf>
    <xf numFmtId="14" fontId="1" fillId="3" borderId="28" xfId="0" applyNumberFormat="1" applyFont="1" applyFill="1" applyBorder="1" applyAlignment="1">
      <alignment horizontal="center" vertical="center" wrapText="1"/>
    </xf>
    <xf numFmtId="14" fontId="1" fillId="3" borderId="29" xfId="0" applyNumberFormat="1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2" borderId="22" xfId="0" applyFont="1" applyFill="1" applyBorder="1" applyAlignment="1">
      <alignment horizontal="left" vertical="center" wrapText="1"/>
    </xf>
    <xf numFmtId="166" fontId="1" fillId="3" borderId="0" xfId="0" applyNumberFormat="1" applyFont="1" applyFill="1" applyAlignment="1">
      <alignment horizontal="right" vertical="center" wrapText="1"/>
    </xf>
  </cellXfs>
  <cellStyles count="2">
    <cellStyle name="Normal" xfId="0" builtinId="0"/>
    <cellStyle name="Pourcentag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9C42-F502-4A74-9A51-415E48439EF0}">
  <sheetPr filterMode="1"/>
  <dimension ref="A1:J32"/>
  <sheetViews>
    <sheetView tabSelected="1" workbookViewId="0">
      <selection activeCell="C3" sqref="C3"/>
    </sheetView>
  </sheetViews>
  <sheetFormatPr baseColWidth="10" defaultColWidth="12" defaultRowHeight="15" x14ac:dyDescent="0.2"/>
  <cols>
    <col min="1" max="1" width="6.1640625" style="1" bestFit="1" customWidth="1"/>
    <col min="2" max="2" width="31.5" style="1" customWidth="1"/>
    <col min="3" max="3" width="34.1640625" style="1" customWidth="1"/>
    <col min="4" max="4" width="14.83203125" style="1" customWidth="1"/>
    <col min="5" max="5" width="17.6640625" style="1" customWidth="1"/>
    <col min="6" max="6" width="14.33203125" style="1" customWidth="1"/>
    <col min="7" max="7" width="17.1640625" style="1" customWidth="1"/>
    <col min="8" max="8" width="17.83203125" style="1" customWidth="1"/>
    <col min="9" max="9" width="17.6640625" style="1" customWidth="1"/>
    <col min="10" max="16384" width="12" style="1"/>
  </cols>
  <sheetData>
    <row r="1" spans="1:10" ht="16" thickBot="1" x14ac:dyDescent="0.25"/>
    <row r="2" spans="1:10" s="2" customFormat="1" ht="17" thickBot="1" x14ac:dyDescent="0.25">
      <c r="B2" s="3" t="s">
        <v>0</v>
      </c>
      <c r="C2" s="4" t="s">
        <v>1</v>
      </c>
      <c r="E2" s="5"/>
      <c r="F2" s="6" t="s">
        <v>2</v>
      </c>
      <c r="G2" s="7" t="s">
        <v>3</v>
      </c>
      <c r="H2" s="8" t="s">
        <v>4</v>
      </c>
      <c r="I2" s="9" t="s">
        <v>5</v>
      </c>
    </row>
    <row r="3" spans="1:10" s="2" customFormat="1" ht="32" x14ac:dyDescent="0.2">
      <c r="B3" s="10" t="s">
        <v>6</v>
      </c>
      <c r="C3" s="11" t="s">
        <v>7</v>
      </c>
      <c r="E3" s="12" t="s">
        <v>8</v>
      </c>
      <c r="F3" s="13">
        <f>SUMIF(C11:C31,"ALEXA",E11:E31)</f>
        <v>340000</v>
      </c>
      <c r="G3" s="14">
        <f>SUMIF(C11:C31,"WLC",E11:E31)</f>
        <v>167000</v>
      </c>
      <c r="H3" s="15">
        <f t="shared" ref="H3:H4" si="0">SUM(F3:G3)</f>
        <v>507000</v>
      </c>
      <c r="I3" s="16" t="str">
        <f>TEXT(H3/$C$7,"0%") &amp; " de l'objectif"</f>
        <v>101% de l'objectif</v>
      </c>
    </row>
    <row r="4" spans="1:10" s="2" customFormat="1" ht="16" x14ac:dyDescent="0.2">
      <c r="B4" s="10" t="s">
        <v>9</v>
      </c>
      <c r="C4" s="17">
        <v>45910</v>
      </c>
      <c r="E4" s="18" t="s">
        <v>10</v>
      </c>
      <c r="F4" s="19">
        <f>SUMIFS($E$11:$E$31,$F$11:$F$31,"OUI",$C$11:$C$31,"ALEXA")</f>
        <v>230000</v>
      </c>
      <c r="G4" s="20">
        <f>SUMIFS($E$11:$E$31,$F$11:$F$31,"OUI",$C$11:$C$31,"WLC")</f>
        <v>35000</v>
      </c>
      <c r="H4" s="21">
        <f t="shared" si="0"/>
        <v>265000</v>
      </c>
      <c r="I4" s="22" t="str">
        <f t="shared" ref="I4" si="1">TEXT(H4/$C$7,"0%") &amp; " de l'objectif"</f>
        <v>53% de l'objectif</v>
      </c>
      <c r="J4" s="23">
        <f>H4-C7</f>
        <v>-235000</v>
      </c>
    </row>
    <row r="5" spans="1:10" s="2" customFormat="1" ht="17" thickBot="1" x14ac:dyDescent="0.25">
      <c r="B5" s="10" t="s">
        <v>11</v>
      </c>
      <c r="C5" s="17" t="s">
        <v>12</v>
      </c>
      <c r="E5" s="24" t="s">
        <v>13</v>
      </c>
      <c r="F5" s="25">
        <f>SUMIFS($E$11:$E$31,$H$11:$H$31,"OUI",$C$11:$C$31,"ALEXA")</f>
        <v>200000</v>
      </c>
      <c r="G5" s="26">
        <f>SUMIFS($E$11:$E$31,$H$11:$H$31,"OUI",$C$11:$C$31,"WLC")</f>
        <v>35000</v>
      </c>
      <c r="H5" s="27">
        <f>SUM(F5:G5)</f>
        <v>235000</v>
      </c>
      <c r="I5" s="28" t="str">
        <f>TEXT(H5/$C$7,"0%") &amp; " de l'objectif"</f>
        <v>47% de l'objectif</v>
      </c>
    </row>
    <row r="6" spans="1:10" s="2" customFormat="1" ht="16" x14ac:dyDescent="0.2">
      <c r="B6" s="10" t="s">
        <v>14</v>
      </c>
      <c r="C6" s="29">
        <v>0.11700000000000001</v>
      </c>
    </row>
    <row r="7" spans="1:10" s="2" customFormat="1" ht="17" thickBot="1" x14ac:dyDescent="0.25">
      <c r="B7" s="30" t="s">
        <v>15</v>
      </c>
      <c r="C7" s="31">
        <v>500000</v>
      </c>
    </row>
    <row r="8" spans="1:10" s="2" customFormat="1" ht="16" thickBot="1" x14ac:dyDescent="0.25"/>
    <row r="9" spans="1:10" s="2" customFormat="1" ht="16" thickBot="1" x14ac:dyDescent="0.25">
      <c r="B9" s="61" t="str">
        <f>"Suivi des intentions de souscription et des sousciptions réelles du produit " &amp;C3 &amp;" Code ISIN " &amp;C2</f>
        <v>Suivi des intentions de souscription et des sousciptions réelles du produit ATHENA TRIMESTRIEL FDJ D2.05 SEPTEMBRE 2025 Code ISIN XS3126979049</v>
      </c>
      <c r="C9" s="62"/>
      <c r="D9" s="62"/>
      <c r="E9" s="62"/>
      <c r="F9" s="62"/>
      <c r="G9" s="62"/>
      <c r="H9" s="62"/>
      <c r="I9" s="63"/>
    </row>
    <row r="10" spans="1:10" s="2" customFormat="1" ht="33" thickBot="1" x14ac:dyDescent="0.25">
      <c r="B10" s="32" t="s">
        <v>16</v>
      </c>
      <c r="C10" s="33" t="s">
        <v>17</v>
      </c>
      <c r="D10" s="33" t="s">
        <v>18</v>
      </c>
      <c r="E10" s="33" t="s">
        <v>19</v>
      </c>
      <c r="F10" s="34" t="s">
        <v>20</v>
      </c>
      <c r="G10" s="34" t="s">
        <v>21</v>
      </c>
      <c r="H10" s="34" t="s">
        <v>22</v>
      </c>
      <c r="I10" s="35" t="s">
        <v>23</v>
      </c>
    </row>
    <row r="11" spans="1:10" s="2" customFormat="1" ht="16" x14ac:dyDescent="0.2">
      <c r="A11" s="36">
        <v>8.9999999999999993E-3</v>
      </c>
      <c r="B11" s="37" t="s">
        <v>24</v>
      </c>
      <c r="C11" s="38" t="s">
        <v>2</v>
      </c>
      <c r="D11" s="38" t="s">
        <v>25</v>
      </c>
      <c r="E11" s="39">
        <v>100000</v>
      </c>
      <c r="F11" s="39" t="s">
        <v>26</v>
      </c>
      <c r="G11" s="40">
        <v>45883</v>
      </c>
      <c r="H11" s="39" t="s">
        <v>26</v>
      </c>
      <c r="I11" s="41">
        <v>45883</v>
      </c>
    </row>
    <row r="12" spans="1:10" s="2" customFormat="1" ht="16" x14ac:dyDescent="0.2">
      <c r="A12" s="36">
        <v>3.0000000000000001E-3</v>
      </c>
      <c r="B12" s="42" t="s">
        <v>27</v>
      </c>
      <c r="C12" s="43" t="s">
        <v>2</v>
      </c>
      <c r="D12" s="43" t="s">
        <v>25</v>
      </c>
      <c r="E12" s="44">
        <v>100000</v>
      </c>
      <c r="F12" s="44" t="s">
        <v>26</v>
      </c>
      <c r="G12" s="45">
        <v>45877</v>
      </c>
      <c r="H12" s="44" t="s">
        <v>26</v>
      </c>
      <c r="I12" s="46">
        <v>45877</v>
      </c>
    </row>
    <row r="13" spans="1:10" s="47" customFormat="1" ht="16" x14ac:dyDescent="0.2">
      <c r="B13" s="48" t="s">
        <v>28</v>
      </c>
      <c r="C13" s="43" t="s">
        <v>2</v>
      </c>
      <c r="D13" s="43" t="s">
        <v>25</v>
      </c>
      <c r="E13" s="49">
        <v>50000</v>
      </c>
      <c r="F13" s="49"/>
      <c r="G13" s="50"/>
      <c r="H13" s="49"/>
      <c r="I13" s="51"/>
    </row>
    <row r="14" spans="1:10" s="2" customFormat="1" ht="16" x14ac:dyDescent="0.2">
      <c r="B14" s="42" t="s">
        <v>38</v>
      </c>
      <c r="C14" s="43" t="s">
        <v>2</v>
      </c>
      <c r="D14" s="43" t="s">
        <v>25</v>
      </c>
      <c r="E14" s="44">
        <v>30000</v>
      </c>
      <c r="F14" s="44" t="s">
        <v>26</v>
      </c>
      <c r="G14" s="45">
        <v>45902</v>
      </c>
      <c r="H14" s="44"/>
      <c r="I14" s="46"/>
    </row>
    <row r="15" spans="1:10" s="2" customFormat="1" ht="16" x14ac:dyDescent="0.2">
      <c r="B15" s="42" t="s">
        <v>29</v>
      </c>
      <c r="C15" s="43" t="s">
        <v>2</v>
      </c>
      <c r="D15" s="43" t="s">
        <v>25</v>
      </c>
      <c r="E15" s="44">
        <v>40000</v>
      </c>
      <c r="F15" s="44"/>
      <c r="G15" s="45"/>
      <c r="H15" s="44"/>
      <c r="I15" s="46"/>
    </row>
    <row r="16" spans="1:10" s="2" customFormat="1" ht="16" x14ac:dyDescent="0.2">
      <c r="B16" s="42" t="s">
        <v>30</v>
      </c>
      <c r="C16" s="43" t="s">
        <v>2</v>
      </c>
      <c r="D16" s="43" t="s">
        <v>25</v>
      </c>
      <c r="E16" s="44">
        <v>20000</v>
      </c>
      <c r="F16" s="44"/>
      <c r="G16" s="45"/>
      <c r="H16" s="44"/>
      <c r="I16" s="46"/>
    </row>
    <row r="17" spans="1:9" s="2" customFormat="1" ht="16" hidden="1" x14ac:dyDescent="0.2">
      <c r="B17" s="42" t="s">
        <v>31</v>
      </c>
      <c r="C17" s="43" t="s">
        <v>3</v>
      </c>
      <c r="D17" s="43" t="s">
        <v>25</v>
      </c>
      <c r="E17" s="44">
        <v>20000</v>
      </c>
      <c r="F17" s="44"/>
      <c r="G17" s="45"/>
      <c r="H17" s="44"/>
      <c r="I17" s="46"/>
    </row>
    <row r="18" spans="1:9" s="2" customFormat="1" ht="16" hidden="1" x14ac:dyDescent="0.2">
      <c r="A18" s="36"/>
      <c r="B18" s="42" t="s">
        <v>32</v>
      </c>
      <c r="C18" s="43" t="s">
        <v>3</v>
      </c>
      <c r="D18" s="43" t="s">
        <v>25</v>
      </c>
      <c r="E18" s="44">
        <v>20000</v>
      </c>
      <c r="F18" s="44"/>
      <c r="G18" s="45"/>
      <c r="H18" s="44"/>
      <c r="I18" s="46"/>
    </row>
    <row r="19" spans="1:9" s="2" customFormat="1" ht="16" hidden="1" x14ac:dyDescent="0.2">
      <c r="A19" s="36"/>
      <c r="B19" s="42" t="s">
        <v>33</v>
      </c>
      <c r="C19" s="43" t="s">
        <v>3</v>
      </c>
      <c r="D19" s="43" t="s">
        <v>25</v>
      </c>
      <c r="E19" s="44">
        <v>20000</v>
      </c>
      <c r="F19" s="44"/>
      <c r="G19" s="45"/>
      <c r="H19" s="44"/>
      <c r="I19" s="46"/>
    </row>
    <row r="20" spans="1:9" s="2" customFormat="1" ht="16" hidden="1" x14ac:dyDescent="0.2">
      <c r="A20" s="36">
        <v>8.9999999999999993E-3</v>
      </c>
      <c r="B20" s="42" t="s">
        <v>34</v>
      </c>
      <c r="C20" s="43" t="s">
        <v>3</v>
      </c>
      <c r="D20" s="43" t="s">
        <v>25</v>
      </c>
      <c r="E20" s="44">
        <v>35000</v>
      </c>
      <c r="F20" s="44" t="s">
        <v>26</v>
      </c>
      <c r="G20" s="45">
        <v>45870</v>
      </c>
      <c r="H20" s="44" t="s">
        <v>26</v>
      </c>
      <c r="I20" s="46">
        <v>45870</v>
      </c>
    </row>
    <row r="21" spans="1:9" s="2" customFormat="1" ht="16" hidden="1" x14ac:dyDescent="0.2">
      <c r="B21" s="42" t="s">
        <v>35</v>
      </c>
      <c r="C21" s="43" t="s">
        <v>3</v>
      </c>
      <c r="D21" s="43" t="s">
        <v>25</v>
      </c>
      <c r="E21" s="44">
        <v>25000</v>
      </c>
      <c r="F21" s="44"/>
      <c r="G21" s="45"/>
      <c r="H21" s="44"/>
      <c r="I21" s="46"/>
    </row>
    <row r="22" spans="1:9" s="2" customFormat="1" ht="16" hidden="1" x14ac:dyDescent="0.2">
      <c r="B22" s="42" t="s">
        <v>36</v>
      </c>
      <c r="C22" s="43" t="s">
        <v>3</v>
      </c>
      <c r="D22" s="43" t="s">
        <v>25</v>
      </c>
      <c r="E22" s="44">
        <v>12000</v>
      </c>
      <c r="F22" s="44"/>
      <c r="G22" s="45"/>
      <c r="H22" s="44"/>
      <c r="I22" s="46"/>
    </row>
    <row r="23" spans="1:9" s="2" customFormat="1" ht="16" hidden="1" x14ac:dyDescent="0.2">
      <c r="B23" s="42" t="s">
        <v>37</v>
      </c>
      <c r="C23" s="43" t="s">
        <v>3</v>
      </c>
      <c r="D23" s="43" t="s">
        <v>25</v>
      </c>
      <c r="E23" s="44">
        <v>35000</v>
      </c>
      <c r="F23" s="44"/>
      <c r="G23" s="45"/>
      <c r="H23" s="44"/>
      <c r="I23" s="46"/>
    </row>
    <row r="24" spans="1:9" s="2" customFormat="1" x14ac:dyDescent="0.2">
      <c r="B24" s="42"/>
      <c r="C24" s="43"/>
      <c r="D24" s="43"/>
      <c r="E24" s="44">
        <v>22000</v>
      </c>
      <c r="F24" s="52"/>
      <c r="G24" s="45"/>
      <c r="H24" s="52"/>
      <c r="I24" s="46"/>
    </row>
    <row r="25" spans="1:9" s="2" customFormat="1" x14ac:dyDescent="0.2">
      <c r="B25" s="42"/>
      <c r="C25" s="43"/>
      <c r="D25" s="43"/>
      <c r="E25" s="64">
        <v>55000</v>
      </c>
      <c r="F25" s="52"/>
      <c r="G25" s="45"/>
      <c r="H25" s="52"/>
      <c r="I25" s="46"/>
    </row>
    <row r="26" spans="1:9" s="2" customFormat="1" x14ac:dyDescent="0.2">
      <c r="B26" s="53"/>
      <c r="C26" s="52"/>
      <c r="D26" s="43"/>
      <c r="E26" s="54"/>
      <c r="F26" s="52"/>
      <c r="G26" s="45"/>
      <c r="H26" s="52"/>
      <c r="I26" s="46"/>
    </row>
    <row r="27" spans="1:9" s="2" customFormat="1" x14ac:dyDescent="0.2">
      <c r="B27" s="53"/>
      <c r="C27" s="52"/>
      <c r="D27" s="43"/>
      <c r="E27" s="54"/>
      <c r="F27" s="52"/>
      <c r="G27" s="45"/>
      <c r="H27" s="52"/>
      <c r="I27" s="46"/>
    </row>
    <row r="28" spans="1:9" s="2" customFormat="1" x14ac:dyDescent="0.2">
      <c r="B28" s="53"/>
      <c r="C28" s="52"/>
      <c r="D28" s="43"/>
      <c r="E28" s="54"/>
      <c r="F28" s="52"/>
      <c r="G28" s="45"/>
      <c r="H28" s="52"/>
      <c r="I28" s="46"/>
    </row>
    <row r="29" spans="1:9" s="2" customFormat="1" x14ac:dyDescent="0.2">
      <c r="B29" s="53"/>
      <c r="C29" s="52"/>
      <c r="D29" s="43"/>
      <c r="E29" s="54"/>
      <c r="F29" s="52"/>
      <c r="G29" s="45"/>
      <c r="H29" s="52"/>
      <c r="I29" s="46"/>
    </row>
    <row r="30" spans="1:9" s="2" customFormat="1" x14ac:dyDescent="0.2">
      <c r="B30" s="53"/>
      <c r="C30" s="52"/>
      <c r="D30" s="43"/>
      <c r="E30" s="54"/>
      <c r="F30" s="52"/>
      <c r="G30" s="45"/>
      <c r="H30" s="52"/>
      <c r="I30" s="46"/>
    </row>
    <row r="31" spans="1:9" s="2" customFormat="1" ht="16" thickBot="1" x14ac:dyDescent="0.25">
      <c r="B31" s="55"/>
      <c r="C31" s="56"/>
      <c r="D31" s="57"/>
      <c r="E31" s="58"/>
      <c r="F31" s="56"/>
      <c r="G31" s="59"/>
      <c r="H31" s="56"/>
      <c r="I31" s="60"/>
    </row>
    <row r="32" spans="1:9" s="2" customFormat="1" x14ac:dyDescent="0.2"/>
  </sheetData>
  <autoFilter ref="B10:I23" xr:uid="{848F9C42-F502-4A74-9A51-415E48439EF0}">
    <filterColumn colId="1">
      <filters>
        <filter val="ALEXA"/>
      </filters>
    </filterColumn>
  </autoFilter>
  <mergeCells count="1">
    <mergeCell ref="B9:I9"/>
  </mergeCells>
  <conditionalFormatting sqref="D16">
    <cfRule type="cellIs" dxfId="1" priority="2" operator="lessThan">
      <formula>0</formula>
    </cfRule>
  </conditionalFormatting>
  <conditionalFormatting sqref="D24">
    <cfRule type="cellIs" dxfId="0" priority="1" operator="lessThan">
      <formula>0</formula>
    </cfRule>
  </conditionalFormatting>
  <dataValidations count="4">
    <dataValidation type="list" allowBlank="1" showInputMessage="1" showErrorMessage="1" sqref="C11:C31" xr:uid="{4448AE96-C673-4370-8832-6999F88E5D89}">
      <formula1>"ALEXA,WLC"</formula1>
    </dataValidation>
    <dataValidation type="list" allowBlank="1" showInputMessage="1" showErrorMessage="1" sqref="D11:D31" xr:uid="{C6C865C3-2E9C-4A4B-A59B-1E3AD9DD7B49}">
      <formula1>"ASV GENERALI,FAS LOMBARD, CTO NORTIA, ASV NORTIA, CONTRAT CAPI NORTIA"</formula1>
    </dataValidation>
    <dataValidation type="list" allowBlank="1" showInputMessage="1" showErrorMessage="1" sqref="F11:F31 H11:H31" xr:uid="{4883D9BE-C546-4E15-954D-4EC6B10B0C62}">
      <formula1>"OUI,NON"</formula1>
    </dataValidation>
    <dataValidation type="list" allowBlank="1" showInputMessage="1" showErrorMessage="1" sqref="C5" xr:uid="{AF565234-A1C5-4663-8CBC-C64DA1C794C8}">
      <formula1>"NEXO,IRBIS,KLEBER"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7f417cb716d5595fb741e4e88a7d6f82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640f38e2a6663f61c669e4a0efbd78c9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271340-DBAC-41F1-8043-A936AF313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EC2CDD-1C7E-4E29-ACDF-D0A228C06C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1EF73A-BFA8-4B9F-A25D-71ACBCE8885B}">
  <ds:schemaRefs>
    <ds:schemaRef ds:uri="http://schemas.microsoft.com/office/2006/documentManagement/types"/>
    <ds:schemaRef ds:uri="c73c546d-5213-4354-8753-20c3f93ccee9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00ac3ce-c123-42d0-bfaf-41f6bbf712cc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2025-08-26T12:12:00Z</dcterms:created>
  <dcterms:modified xsi:type="dcterms:W3CDTF">2025-09-08T15:04:19Z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