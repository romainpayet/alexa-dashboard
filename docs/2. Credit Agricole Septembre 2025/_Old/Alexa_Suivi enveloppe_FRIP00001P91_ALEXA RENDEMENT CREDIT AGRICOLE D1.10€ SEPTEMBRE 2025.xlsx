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6. Suivi des Produits Structurés/2. Enveloppes Produits/2. Credit Agricole Septembre 2025/"/>
    </mc:Choice>
  </mc:AlternateContent>
  <xr:revisionPtr revIDLastSave="0" documentId="13_ncr:1_{FA3B57F7-8460-5746-96F3-DF8AE52BA6ED}" xr6:coauthVersionLast="47" xr6:coauthVersionMax="47" xr10:uidLastSave="{00000000-0000-0000-0000-000000000000}"/>
  <bookViews>
    <workbookView xWindow="-120" yWindow="-120" windowWidth="38640" windowHeight="21120" xr2:uid="{EE1CEB3C-BF88-4539-9AD6-83DF8278D958}"/>
  </bookViews>
  <sheets>
    <sheet name="FRIP00001P9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4" i="1"/>
  <c r="G4" i="1" s="1"/>
  <c r="F5" i="1"/>
  <c r="G5" i="1" s="1"/>
  <c r="B9" i="1" l="1"/>
</calcChain>
</file>

<file path=xl/sharedStrings.xml><?xml version="1.0" encoding="utf-8"?>
<sst xmlns="http://schemas.openxmlformats.org/spreadsheetml/2006/main" count="57" uniqueCount="42">
  <si>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</si>
  <si>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</si>
  <si>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</si>
  <si>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</si>
  <si>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</si>
  <si>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</si>
  <si>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</si>
  <si>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</si>
  <si>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>Date d'arrivée sur contrat</t>
  </si>
  <si>
    <t>Versement arrivé sur contrat ?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</si>
  <si>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</si>
  <si>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</si>
  <si>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</si>
  <si>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</si>
  <si>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</si>
  <si>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</si>
  <si>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</si>
  <si>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</si>
  <si>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IRBIS</t>
  </si>
  <si>
    <t>TOTAL Enveloppe</t>
  </si>
  <si>
    <t>FRIP00001P91</t>
  </si>
  <si>
    <t>ALEXA RENDEMENT CREDIT AGRICOLE D1.10€ SEPTEMBRE 2025</t>
  </si>
  <si>
    <t>Nom / Prénom / Entité du client</t>
  </si>
  <si>
    <t>Hubert Bousquet</t>
  </si>
  <si>
    <t>M&amp;Mme Frotier de Bagneux</t>
  </si>
  <si>
    <t>Franck Dupouy</t>
  </si>
  <si>
    <t>Alexandre GHIZZARDI</t>
  </si>
  <si>
    <t>Andre Reglat</t>
  </si>
  <si>
    <t>AGR4</t>
  </si>
  <si>
    <t>AGR3</t>
  </si>
  <si>
    <t>LCM</t>
  </si>
  <si>
    <t>Financière COAXIS</t>
  </si>
  <si>
    <t>SAS Biscay</t>
  </si>
  <si>
    <t>Dominique Biscay</t>
  </si>
  <si>
    <t>SPFPL Biscay</t>
  </si>
  <si>
    <t>Charlie Verbruggen</t>
  </si>
  <si>
    <t>Claude Rouffilange</t>
  </si>
  <si>
    <t>Muriel Sanchez</t>
  </si>
  <si>
    <t>LMR Finances</t>
  </si>
  <si>
    <t>CTO NORTIA</t>
  </si>
  <si>
    <t>FAS LOMBARD</t>
  </si>
  <si>
    <t>Appoline 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</si>
</sst>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9" fontId="4" fillId="3" borderId="19" xfId="0" applyNumberFormat="1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65" fontId="3" fillId="3" borderId="27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left" vertical="center" wrapText="1"/>
    </xf>
    <xf numFmtId="0" fontId="0" fillId="3" borderId="19" xfId="0" applyFont="1" applyFill="1" applyBorder="1" applyAlignment="1">
      <alignment horizontal="left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I32"/>
  <sheetViews>
    <sheetView showGridLines="0" tabSelected="1" workbookViewId="0">
      <selection activeCell="C11" sqref="C11:C27"/>
    </sheetView>
  </sheetViews>
  <sheetFormatPr baseColWidth="10" defaultColWidth="12.140625" defaultRowHeight="15" x14ac:dyDescent="0.25"/>
  <cols>
    <col min="1" max="1" width="3.85546875" style="1" customWidth="1"/>
    <col min="2" max="2" width="20.42578125" style="1" customWidth="1"/>
    <col min="3" max="3" width="49.7109375" style="1" bestFit="1" customWidth="1"/>
    <col min="4" max="9" width="17.28515625" style="1" customWidth="1"/>
    <col min="10" max="10" width="17.85546875" style="1" customWidth="1"/>
    <col min="11" max="16384" width="12.140625" style="1"/>
  </cols>
  <sheetData>
    <row r="1" spans="2:9" ht="12.95" customHeight="1" thickBot="1" x14ac:dyDescent="0.3"/>
    <row r="2" spans="2:9" s="2" customFormat="1" ht="15.95" customHeight="1" thickBot="1" x14ac:dyDescent="0.3">
      <c r="B2" s="7" t="s">
        <v>1</v>
      </c>
      <c r="C2" s="46" t="s">
        <v>20</v>
      </c>
      <c r="E2" s="3"/>
      <c r="F2" s="28" t="s">
        <v>14</v>
      </c>
      <c r="G2" s="21" t="s">
        <v>15</v>
      </c>
    </row>
    <row r="3" spans="2:9" s="2" customFormat="1" ht="15.95" customHeight="1" thickBot="1" x14ac:dyDescent="0.3">
      <c r="B3" s="4" t="s">
        <v>2</v>
      </c>
      <c r="C3" s="47" t="s">
        <v>21</v>
      </c>
      <c r="E3" s="25" t="s">
        <v>19</v>
      </c>
      <c r="F3" s="29">
        <v>450000</v>
      </c>
      <c r="G3" s="22"/>
    </row>
    <row r="4" spans="2:9" s="2" customFormat="1" ht="15.95" customHeight="1" x14ac:dyDescent="0.25">
      <c r="B4" s="4" t="s">
        <v>0</v>
      </c>
      <c r="C4" s="8">
        <v>45915</v>
      </c>
      <c r="E4" s="25" t="s">
        <v>10</v>
      </c>
      <c r="F4" s="30">
        <f>SUM(D11:D31)</f>
        <v>750000</v>
      </c>
      <c r="G4" s="22" t="str">
        <f>TEXT(F4/$F$3,"0%") &amp; " de l'objectif"</f>
        <v>167% de l'objectif</v>
      </c>
    </row>
    <row r="5" spans="2:9" s="2" customFormat="1" ht="15.95" customHeight="1" x14ac:dyDescent="0.25">
      <c r="B5" s="4" t="s">
        <v>16</v>
      </c>
      <c r="C5" s="8" t="s">
        <v>18</v>
      </c>
      <c r="E5" s="26" t="s">
        <v>11</v>
      </c>
      <c r="F5" s="31">
        <f>SUMIFS($F$11:$F$31,$E$11:$E$31,"OUI")</f>
        <v>0</v>
      </c>
      <c r="G5" s="23" t="str">
        <f>TEXT(F5/$F$3,"0%") &amp; " de l'objectif"</f>
        <v>0% de l'objectif</v>
      </c>
    </row>
    <row r="6" spans="2:9" s="2" customFormat="1" ht="15.95" customHeight="1" thickBot="1" x14ac:dyDescent="0.3">
      <c r="B6" s="4" t="s">
        <v>3</v>
      </c>
      <c r="C6" s="5">
        <v>0.12</v>
      </c>
      <c r="E6" s="27" t="s">
        <v>13</v>
      </c>
      <c r="F6" s="32">
        <f>SUMIFS($F$11:$F$31,$H$11:$H$31,"OUI")</f>
        <v>0</v>
      </c>
      <c r="G6" s="24" t="str">
        <f>TEXT(F6/$F$3,"0%") &amp; " de l'objectif"</f>
        <v>0% de l'objectif</v>
      </c>
    </row>
    <row r="7" spans="2:9" s="2" customFormat="1" ht="15.95" customHeight="1" thickBot="1" x14ac:dyDescent="0.3">
      <c r="B7" s="6" t="s">
        <v>12</v>
      </c>
      <c r="C7" s="9">
        <v>500000</v>
      </c>
    </row>
    <row r="8" spans="2:9" s="2" customFormat="1" ht="15.95" customHeight="1" thickBot="1" x14ac:dyDescent="0.3"/>
    <row r="9" spans="2:9" s="2" customFormat="1" ht="15.95" customHeight="1" thickBot="1" x14ac:dyDescent="0.3">
      <c r="B9" s="43" t="str">
        <f>"Suivi des intentions de souscription et des sousciptions réelles du produit " &amp;C3 &amp;" Code ISIN " &amp;C2</f>
        <v>Suivi des intentions de souscription et des sousciptions réelles du produit ALEXA RENDEMENT CREDIT AGRICOLE D1.10€ SEPTEMBRE 2025 Code ISIN FRIP00001P91</v>
      </c>
      <c r="C9" s="44"/>
      <c r="D9" s="44"/>
      <c r="E9" s="44"/>
      <c r="F9" s="44"/>
      <c r="G9" s="44"/>
      <c r="H9" s="44"/>
      <c r="I9" s="45"/>
    </row>
    <row r="10" spans="2:9" s="2" customFormat="1" ht="27.95" customHeight="1" thickBot="1" x14ac:dyDescent="0.3">
      <c r="B10" s="10" t="s">
        <v>4</v>
      </c>
      <c r="C10" s="11" t="s">
        <v>22</v>
      </c>
      <c r="D10" s="11" t="s">
        <v>5</v>
      </c>
      <c r="E10" s="12" t="s">
        <v>6</v>
      </c>
      <c r="F10" s="12" t="s">
        <v>17</v>
      </c>
      <c r="G10" s="12" t="s">
        <v>7</v>
      </c>
      <c r="H10" s="12" t="s">
        <v>9</v>
      </c>
      <c r="I10" s="13" t="s">
        <v>8</v>
      </c>
    </row>
    <row r="11" spans="2:9" s="2" customFormat="1" ht="15.95" customHeight="1" x14ac:dyDescent="0.25">
      <c r="B11" s="40" t="s">
        <v>39</v>
      </c>
      <c r="C11" s="41" t="s">
        <v>23</v>
      </c>
      <c r="D11" s="42">
        <v>55000</v>
      </c>
      <c r="E11" s="35"/>
      <c r="F11" s="34"/>
      <c r="G11" s="36"/>
      <c r="H11" s="35"/>
      <c r="I11" s="15"/>
    </row>
    <row r="12" spans="2:9" s="2" customFormat="1" ht="15.95" customHeight="1" x14ac:dyDescent="0.25">
      <c r="B12" s="14" t="s">
        <v>39</v>
      </c>
      <c r="C12" s="33" t="s">
        <v>24</v>
      </c>
      <c r="D12" s="34">
        <v>25000</v>
      </c>
      <c r="E12" s="35"/>
      <c r="F12" s="34"/>
      <c r="G12" s="36"/>
      <c r="H12" s="35"/>
      <c r="I12" s="15"/>
    </row>
    <row r="13" spans="2:9" s="2" customFormat="1" ht="15.95" customHeight="1" x14ac:dyDescent="0.25">
      <c r="B13" s="14" t="s">
        <v>39</v>
      </c>
      <c r="C13" s="33" t="s">
        <v>25</v>
      </c>
      <c r="D13" s="34">
        <v>50000</v>
      </c>
      <c r="E13" s="35"/>
      <c r="F13" s="34"/>
      <c r="G13" s="36"/>
      <c r="H13" s="35"/>
      <c r="I13" s="15"/>
    </row>
    <row r="14" spans="2:9" s="2" customFormat="1" ht="15.95" customHeight="1" x14ac:dyDescent="0.25">
      <c r="B14" s="14" t="s">
        <v>39</v>
      </c>
      <c r="C14" s="33" t="s">
        <v>26</v>
      </c>
      <c r="D14" s="34">
        <v>25000</v>
      </c>
      <c r="E14" s="35"/>
      <c r="F14" s="34"/>
      <c r="G14" s="36"/>
      <c r="H14" s="35"/>
      <c r="I14" s="15"/>
    </row>
    <row r="15" spans="2:9" s="2" customFormat="1" ht="15.95" customHeight="1" x14ac:dyDescent="0.25">
      <c r="B15" s="14" t="s">
        <v>39</v>
      </c>
      <c r="C15" s="33" t="s">
        <v>27</v>
      </c>
      <c r="D15" s="34">
        <v>20000</v>
      </c>
      <c r="E15" s="35"/>
      <c r="F15" s="34"/>
      <c r="G15" s="36"/>
      <c r="H15" s="35"/>
      <c r="I15" s="15"/>
    </row>
    <row r="16" spans="2:9" s="2" customFormat="1" ht="15.95" customHeight="1" x14ac:dyDescent="0.25">
      <c r="B16" s="14" t="s">
        <v>39</v>
      </c>
      <c r="C16" s="33" t="s">
        <v>28</v>
      </c>
      <c r="D16" s="34">
        <v>75000</v>
      </c>
      <c r="E16" s="35"/>
      <c r="F16" s="34"/>
      <c r="G16" s="36"/>
      <c r="H16" s="35"/>
      <c r="I16" s="15"/>
    </row>
    <row r="17" spans="2:9" s="2" customFormat="1" ht="15.95" customHeight="1" x14ac:dyDescent="0.25">
      <c r="B17" s="14" t="s">
        <v>39</v>
      </c>
      <c r="C17" s="33" t="s">
        <v>29</v>
      </c>
      <c r="D17" s="34">
        <v>30000</v>
      </c>
      <c r="E17" s="35"/>
      <c r="F17" s="37"/>
      <c r="G17" s="36"/>
      <c r="H17" s="35"/>
      <c r="I17" s="15"/>
    </row>
    <row r="18" spans="2:9" s="2" customFormat="1" ht="15.95" customHeight="1" x14ac:dyDescent="0.25">
      <c r="B18" s="14" t="s">
        <v>39</v>
      </c>
      <c r="C18" s="33" t="s">
        <v>30</v>
      </c>
      <c r="D18" s="34">
        <v>35000</v>
      </c>
      <c r="E18" s="35"/>
      <c r="F18" s="37"/>
      <c r="G18" s="36"/>
      <c r="H18" s="35"/>
      <c r="I18" s="15"/>
    </row>
    <row r="19" spans="2:9" s="2" customFormat="1" ht="15.95" customHeight="1" x14ac:dyDescent="0.25">
      <c r="B19" s="14" t="s">
        <v>40</v>
      </c>
      <c r="C19" s="33" t="s">
        <v>31</v>
      </c>
      <c r="D19" s="34">
        <v>100000</v>
      </c>
      <c r="E19" s="35"/>
      <c r="F19" s="37"/>
      <c r="G19" s="36"/>
      <c r="H19" s="35"/>
      <c r="I19" s="15"/>
    </row>
    <row r="20" spans="2:9" s="2" customFormat="1" ht="15.95" customHeight="1" x14ac:dyDescent="0.25">
      <c r="B20" s="14" t="s">
        <v>39</v>
      </c>
      <c r="C20" s="33" t="s">
        <v>32</v>
      </c>
      <c r="D20" s="34">
        <v>25000</v>
      </c>
      <c r="E20" s="35"/>
      <c r="F20" s="37"/>
      <c r="G20" s="36"/>
      <c r="H20" s="35"/>
      <c r="I20" s="15"/>
    </row>
    <row r="21" spans="2:9" s="2" customFormat="1" ht="15.95" customHeight="1" x14ac:dyDescent="0.25">
      <c r="B21" s="14" t="s">
        <v>39</v>
      </c>
      <c r="C21" s="33" t="s">
        <v>33</v>
      </c>
      <c r="D21" s="34">
        <v>10000</v>
      </c>
      <c r="E21" s="35"/>
      <c r="F21" s="37"/>
      <c r="G21" s="36"/>
      <c r="H21" s="35"/>
      <c r="I21" s="15"/>
    </row>
    <row r="22" spans="2:9" s="2" customFormat="1" ht="15.95" customHeight="1" x14ac:dyDescent="0.25">
      <c r="B22" s="14" t="s">
        <v>39</v>
      </c>
      <c r="C22" s="33" t="s">
        <v>34</v>
      </c>
      <c r="D22" s="34">
        <v>20000</v>
      </c>
      <c r="E22" s="35"/>
      <c r="F22" s="37"/>
      <c r="G22" s="36"/>
      <c r="H22" s="35"/>
      <c r="I22" s="15"/>
    </row>
    <row r="23" spans="2:9" s="2" customFormat="1" ht="15.95" customHeight="1" x14ac:dyDescent="0.25">
      <c r="B23" s="14" t="s">
        <v>39</v>
      </c>
      <c r="C23" s="33" t="s">
        <v>35</v>
      </c>
      <c r="D23" s="34">
        <v>100000</v>
      </c>
      <c r="E23" s="38"/>
      <c r="F23" s="37"/>
      <c r="G23" s="36"/>
      <c r="H23" s="38"/>
      <c r="I23" s="15"/>
    </row>
    <row r="24" spans="2:9" s="2" customFormat="1" ht="15.95" customHeight="1" x14ac:dyDescent="0.25">
      <c r="B24" s="14" t="s">
        <v>39</v>
      </c>
      <c r="C24" s="33" t="s">
        <v>36</v>
      </c>
      <c r="D24" s="34">
        <v>30000</v>
      </c>
      <c r="E24" s="38"/>
      <c r="F24" s="37"/>
      <c r="G24" s="36"/>
      <c r="H24" s="38"/>
      <c r="I24" s="15"/>
    </row>
    <row r="25" spans="2:9" s="2" customFormat="1" ht="15.95" customHeight="1" x14ac:dyDescent="0.25">
      <c r="B25" s="14" t="s">
        <v>40</v>
      </c>
      <c r="C25" s="33" t="s">
        <v>37</v>
      </c>
      <c r="D25" s="34">
        <v>50000</v>
      </c>
      <c r="E25" s="38"/>
      <c r="F25" s="37"/>
      <c r="G25" s="36"/>
      <c r="H25" s="38"/>
      <c r="I25" s="15"/>
    </row>
    <row r="26" spans="2:9" s="2" customFormat="1" ht="15.95" customHeight="1" x14ac:dyDescent="0.25">
      <c r="B26" s="14" t="s">
        <v>40</v>
      </c>
      <c r="C26" s="33" t="s">
        <v>38</v>
      </c>
      <c r="D26" s="34">
        <v>50000</v>
      </c>
      <c r="E26" s="38"/>
      <c r="F26" s="34"/>
      <c r="G26" s="36"/>
      <c r="H26" s="38"/>
      <c r="I26" s="15"/>
    </row>
    <row r="27" spans="2:9" s="2" customFormat="1" ht="15.95" customHeight="1" x14ac:dyDescent="0.25">
      <c r="B27" s="14" t="s">
        <v>39</v>
      </c>
      <c r="C27" s="33" t="s">
        <v>41</v>
      </c>
      <c r="D27" s="34">
        <v>50000</v>
      </c>
      <c r="E27" s="38"/>
      <c r="F27" s="34"/>
      <c r="G27" s="36"/>
      <c r="H27" s="38"/>
      <c r="I27" s="15"/>
    </row>
    <row r="28" spans="2:9" s="2" customFormat="1" ht="15.95" customHeight="1" x14ac:dyDescent="0.25">
      <c r="B28" s="14"/>
      <c r="C28" s="33"/>
      <c r="D28" s="34"/>
      <c r="E28" s="38"/>
      <c r="F28" s="34"/>
      <c r="G28" s="36"/>
      <c r="H28" s="38"/>
      <c r="I28" s="15"/>
    </row>
    <row r="29" spans="2:9" s="2" customFormat="1" ht="15.95" customHeight="1" x14ac:dyDescent="0.25">
      <c r="B29" s="14"/>
      <c r="C29" s="33"/>
      <c r="D29" s="34"/>
      <c r="E29" s="38"/>
      <c r="F29" s="34"/>
      <c r="G29" s="36"/>
      <c r="H29" s="38"/>
      <c r="I29" s="15"/>
    </row>
    <row r="30" spans="2:9" s="2" customFormat="1" ht="15.95" customHeight="1" x14ac:dyDescent="0.25">
      <c r="B30" s="14"/>
      <c r="C30" s="33"/>
      <c r="D30" s="34"/>
      <c r="E30" s="38"/>
      <c r="F30" s="34"/>
      <c r="G30" s="36"/>
      <c r="H30" s="38"/>
      <c r="I30" s="15"/>
    </row>
    <row r="31" spans="2:9" s="2" customFormat="1" ht="15.95" customHeight="1" thickBot="1" x14ac:dyDescent="0.3">
      <c r="B31" s="39"/>
      <c r="C31" s="17"/>
      <c r="D31" s="18"/>
      <c r="E31" s="16"/>
      <c r="F31" s="18"/>
      <c r="G31" s="19"/>
      <c r="H31" s="16"/>
      <c r="I31" s="20"/>
    </row>
    <row r="32" spans="2:9" s="2" customFormat="1" ht="15.95" customHeight="1" x14ac:dyDescent="0.25"/>
  </sheetData>
  <mergeCells count="1">
    <mergeCell ref="B9:I9"/>
  </mergeCells>
  <dataValidations count="3">
    <dataValidation type="list" allowBlank="1" showInputMessage="1" showErrorMessage="1" sqref="B11:B31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H31 E11:E31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7f417cb716d5595fb741e4e88a7d6f82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640f38e2a6663f61c669e4a0efbd78c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B14DCF-25AC-4924-AC30-7423CB3EA6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A40F07-CC41-4881-BA22-A16E166CFC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9D10E0-D367-4EA0-BB8E-F35BBECDEA9D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c73c546d-5213-4354-8753-20c3f93ccee9"/>
    <ds:schemaRef ds:uri="400ac3ce-c123-42d0-bfaf-41f6bbf712c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FRIP00001P91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Christian Paul NDONG</cp:lastModifiedBy>
  <dcterms:created xsi:type="dcterms:W3CDTF">2025-06-26T08:01:56Z</dcterms:created>
  <dcterms:modified xsi:type="dcterms:W3CDTF">2025-08-29T09:22:03Z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