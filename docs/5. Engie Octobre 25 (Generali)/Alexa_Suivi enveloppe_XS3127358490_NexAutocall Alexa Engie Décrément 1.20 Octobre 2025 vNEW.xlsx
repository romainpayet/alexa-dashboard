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5. Engie Octobre 25 (Generali)/"/>
    </mc:Choice>
  </mc:AlternateContent>
  <xr:revisionPtr revIDLastSave="5" documentId="8_{98220042-66E4-7B4A-9E7A-AC1D6649D0F5}" xr6:coauthVersionLast="47" xr6:coauthVersionMax="47" xr10:uidLastSave="{A8A8C7D9-A2BA-7441-B152-1B0132F2625F}"/>
  <bookViews>
    <workbookView xWindow="0" yWindow="780" windowWidth="34200" windowHeight="20680" xr2:uid="{EE1CEB3C-BF88-4539-9AD6-83DF8278D958}"/>
  </bookViews>
  <sheets>
    <sheet name="XS312735849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D46" i="1"/>
  <c r="F3" i="1" l="1"/>
  <c r="G3" i="1" l="1"/>
  <c r="F6" i="1"/>
  <c r="B9" i="1"/>
  <c r="F7" i="1"/>
</calcChain>
</file>

<file path=xl/sharedStrings.xml><?xml version="1.0" encoding="utf-8"?>
<sst xmlns="http://schemas.openxmlformats.org/spreadsheetml/2006/main" count="213" uniqueCount="68">
  <si>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</si>
  <si>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</si>
  <si>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</si>
  <si>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</si>
  <si>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</si>
  <si>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</si>
  <si>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</si>
  <si>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</si>
  <si>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</si>
  <si>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</si>
  <si>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</si>
  <si>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</si>
  <si>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</si>
  <si>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</si>
  <si>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</si>
  <si>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</si>
  <si>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</si>
  <si>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</si>
  <si>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</si>
  <si>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 xml:space="preserve">XS3127358490 </t>
  </si>
  <si>
    <t>NexAutocall Alexa Engie Décrément 1.20 Octobre 2025</t>
  </si>
  <si>
    <t>ASV GENERALI</t>
  </si>
  <si>
    <t>ROUFFILANGE CLAUDE</t>
  </si>
  <si>
    <t>ROUFFILANGE Jean</t>
  </si>
  <si>
    <t>AUSSUDRE Charles</t>
  </si>
  <si>
    <t>HOEPFFNER Jean-Luc</t>
  </si>
  <si>
    <t>VERBRUGGEN Charlie</t>
  </si>
  <si>
    <t>PAYET Charlotte</t>
  </si>
  <si>
    <t>DUFOUR Quentin</t>
  </si>
  <si>
    <t>HUYGHE Jean-Luc</t>
  </si>
  <si>
    <t>MOERDYK Steve</t>
  </si>
  <si>
    <t>ECHALIER Benjamin</t>
  </si>
  <si>
    <t>PEYRAT Philippe</t>
  </si>
  <si>
    <t>BURGAUD Jerome</t>
  </si>
  <si>
    <t>DARRIGADE Elise</t>
  </si>
  <si>
    <t>RINIERI Pierre</t>
  </si>
  <si>
    <t>VIENNE Daphne</t>
  </si>
  <si>
    <t>GAYON Julien</t>
  </si>
  <si>
    <t>ROUFFILANGE GUYLAINE</t>
  </si>
  <si>
    <t>GAYON Florence</t>
  </si>
  <si>
    <t>DDA envoyé ?</t>
  </si>
  <si>
    <t>DDA signé ?</t>
  </si>
  <si>
    <t xml:space="preserve"> </t>
  </si>
  <si>
    <t>PER PANTHEA</t>
  </si>
  <si>
    <t>MATTI Quentin</t>
  </si>
  <si>
    <t>OUI</t>
  </si>
  <si>
    <t>AUBERT Caroline</t>
  </si>
  <si>
    <t>COLOMBINI Frédéric</t>
  </si>
  <si>
    <t>GHIZZARDI Alexandre</t>
  </si>
  <si>
    <t>LAHAYE Francois 1</t>
  </si>
  <si>
    <t>LEE GUAN KOK Laetitia</t>
  </si>
  <si>
    <t>PACHE Félix</t>
  </si>
  <si>
    <t>CTO NORTIA</t>
  </si>
  <si>
    <t>AEH</t>
  </si>
  <si>
    <t>Pilard Claire-Marie</t>
  </si>
  <si>
    <t>Guemmar Yassine</t>
  </si>
  <si>
    <t>Monteil Sophie</t>
  </si>
  <si>
    <t xml:space="preserve">Muriel Sanchez </t>
  </si>
  <si>
    <t>FAS LOMBARD</t>
  </si>
  <si>
    <t>Frais ok ?</t>
  </si>
  <si>
    <t>Claude Rouffilange</t>
  </si>
  <si>
    <t xml:space="preserve">Pilard Jean-Guilhem </t>
  </si>
  <si>
    <t>Charlie Verbruggen</t>
  </si>
  <si>
    <t>HOEPFFNER Emmanuel</t>
  </si>
  <si>
    <t>HOEPFFNER Pierre</t>
  </si>
  <si>
    <t>BAILLARDRAN Barbara</t>
  </si>
  <si>
    <t xml:space="preserve"> OUI 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</si>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</sst>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165" fontId="10" fillId="5" borderId="0" xfId="0" applyNumberFormat="1" applyFont="1" applyFill="1" applyAlignment="1">
      <alignment horizontal="center" vertical="center" wrapText="1"/>
    </xf>
    <xf numFmtId="14" fontId="10" fillId="5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164" fontId="10" fillId="5" borderId="0" xfId="0" applyNumberFormat="1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165" fontId="3" fillId="6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14" fontId="3" fillId="6" borderId="2" xfId="0" applyNumberFormat="1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165" fontId="10" fillId="7" borderId="0" xfId="0" applyNumberFormat="1" applyFont="1" applyFill="1" applyAlignment="1">
      <alignment horizontal="center" vertical="center" wrapText="1"/>
    </xf>
    <xf numFmtId="14" fontId="10" fillId="7" borderId="0" xfId="0" applyNumberFormat="1" applyFont="1" applyFill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165" fontId="3" fillId="6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4" fontId="3" fillId="6" borderId="7" xfId="0" applyNumberFormat="1" applyFont="1" applyFill="1" applyBorder="1" applyAlignment="1">
      <alignment horizontal="center" vertical="center" wrapText="1"/>
    </xf>
    <xf numFmtId="14" fontId="3" fillId="6" borderId="4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48"/>
  <sheetViews>
    <sheetView showGridLines="0" tabSelected="1" zoomScale="120" zoomScaleNormal="120" workbookViewId="0">
      <selection activeCell="I35" sqref="I35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56.1640625" style="1" bestFit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36" t="s">
        <v>19</v>
      </c>
      <c r="E2" s="3"/>
      <c r="F2" s="22" t="s">
        <v>12</v>
      </c>
      <c r="G2" s="15" t="s">
        <v>13</v>
      </c>
    </row>
    <row r="3" spans="2:10" s="2" customFormat="1" ht="16" customHeight="1" thickBot="1" x14ac:dyDescent="0.25">
      <c r="B3" s="4" t="s">
        <v>2</v>
      </c>
      <c r="C3" s="37" t="s">
        <v>20</v>
      </c>
      <c r="E3" s="19" t="s">
        <v>16</v>
      </c>
      <c r="F3" s="23">
        <f>800000+95000-8000-4500-25000</f>
        <v>857500</v>
      </c>
      <c r="G3" s="24">
        <f>F3-F5</f>
        <v>0</v>
      </c>
    </row>
    <row r="4" spans="2:10" s="2" customFormat="1" ht="16" customHeight="1" x14ac:dyDescent="0.2">
      <c r="B4" s="4" t="s">
        <v>0</v>
      </c>
      <c r="C4" s="7">
        <v>45961</v>
      </c>
      <c r="E4" s="19" t="s">
        <v>8</v>
      </c>
      <c r="F4" s="24">
        <f>SUM(D11:D47)</f>
        <v>857500</v>
      </c>
      <c r="G4" s="16" t="s">
        <v>67</v>
      </c>
      <c r="H4" s="35"/>
      <c r="I4" s="35"/>
    </row>
    <row r="5" spans="2:10" s="2" customFormat="1" ht="16" customHeight="1" x14ac:dyDescent="0.2">
      <c r="B5" s="4" t="s">
        <v>14</v>
      </c>
      <c r="C5" s="7" t="s">
        <v>18</v>
      </c>
      <c r="E5" s="20" t="s">
        <v>9</v>
      </c>
      <c r="F5" s="25">
        <f>SUM(F11:F47)</f>
        <v>857500</v>
      </c>
      <c r="G5" s="17" t="s">
        <v>67</v>
      </c>
      <c r="H5" s="35"/>
      <c r="I5" s="35"/>
    </row>
    <row r="6" spans="2:10" s="2" customFormat="1" ht="16" customHeight="1" thickBot="1" x14ac:dyDescent="0.25">
      <c r="B6" s="4" t="s">
        <v>3</v>
      </c>
      <c r="C6" s="34">
        <v>0.12759999999999999</v>
      </c>
      <c r="E6" s="21" t="s">
        <v>11</v>
      </c>
      <c r="F6" s="26">
        <f>F5</f>
        <v>857500</v>
      </c>
      <c r="G6" s="18" t="s">
        <v>67</v>
      </c>
    </row>
    <row r="7" spans="2:10" s="2" customFormat="1" ht="16" customHeight="1" thickBot="1" x14ac:dyDescent="0.25">
      <c r="B7" s="5" t="s">
        <v>10</v>
      </c>
      <c r="C7" s="8">
        <v>1000000</v>
      </c>
      <c r="F7" s="35">
        <f>F5+143032</f>
        <v>1000532</v>
      </c>
    </row>
    <row r="8" spans="2:10" s="2" customFormat="1" ht="16" customHeight="1" thickBot="1" x14ac:dyDescent="0.25"/>
    <row r="9" spans="2:10" s="2" customFormat="1" ht="16" customHeight="1" thickBot="1" x14ac:dyDescent="0.25">
      <c r="B9" s="58" t="str">
        <f>"Suivi des intentions de souscription et des sousciptions réelles du produit " &amp;C3 &amp;" Code ISIN " &amp;C2</f>
        <v xml:space="preserve">Suivi des intentions de souscription et des sousciptions réelles du produit NexAutocall Alexa Engie Décrément 1.20 Octobre 2025 Code ISIN XS3127358490 </v>
      </c>
      <c r="C9" s="59"/>
      <c r="D9" s="59"/>
      <c r="E9" s="59"/>
      <c r="F9" s="59"/>
      <c r="G9" s="59"/>
      <c r="H9" s="59"/>
      <c r="I9" s="59"/>
      <c r="J9" s="60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40</v>
      </c>
      <c r="I10" s="11" t="s">
        <v>41</v>
      </c>
      <c r="J10" s="12" t="s">
        <v>59</v>
      </c>
    </row>
    <row r="11" spans="2:10" s="2" customFormat="1" ht="16" customHeight="1" x14ac:dyDescent="0.2">
      <c r="B11" s="32" t="s">
        <v>21</v>
      </c>
      <c r="C11" s="33" t="s">
        <v>22</v>
      </c>
      <c r="D11" s="28">
        <v>15000</v>
      </c>
      <c r="E11" s="29" t="s">
        <v>45</v>
      </c>
      <c r="F11" s="28">
        <v>15000</v>
      </c>
      <c r="G11" s="30">
        <v>45944</v>
      </c>
      <c r="H11" s="29" t="s">
        <v>45</v>
      </c>
      <c r="I11" s="29" t="s">
        <v>45</v>
      </c>
      <c r="J11" s="14" t="s">
        <v>42</v>
      </c>
    </row>
    <row r="12" spans="2:10" s="2" customFormat="1" ht="16" customHeight="1" x14ac:dyDescent="0.2">
      <c r="B12" s="13" t="s">
        <v>21</v>
      </c>
      <c r="C12" s="27" t="s">
        <v>23</v>
      </c>
      <c r="D12" s="28">
        <v>15000</v>
      </c>
      <c r="E12" s="29" t="s">
        <v>45</v>
      </c>
      <c r="F12" s="28">
        <v>15000</v>
      </c>
      <c r="G12" s="30">
        <v>45954</v>
      </c>
      <c r="H12" s="29" t="s">
        <v>45</v>
      </c>
      <c r="I12" s="29" t="s">
        <v>45</v>
      </c>
      <c r="J12" s="14"/>
    </row>
    <row r="13" spans="2:10" s="2" customFormat="1" ht="16" customHeight="1" x14ac:dyDescent="0.2">
      <c r="B13" s="13" t="s">
        <v>21</v>
      </c>
      <c r="C13" s="27" t="s">
        <v>24</v>
      </c>
      <c r="D13" s="28">
        <v>15000</v>
      </c>
      <c r="E13" s="29" t="s">
        <v>45</v>
      </c>
      <c r="F13" s="28">
        <v>15000</v>
      </c>
      <c r="G13" s="30">
        <v>45954</v>
      </c>
      <c r="H13" s="29" t="s">
        <v>45</v>
      </c>
      <c r="I13" s="29" t="s">
        <v>45</v>
      </c>
      <c r="J13" s="14"/>
    </row>
    <row r="14" spans="2:10" s="2" customFormat="1" ht="16" customHeight="1" x14ac:dyDescent="0.2">
      <c r="B14" s="13" t="s">
        <v>21</v>
      </c>
      <c r="C14" s="27" t="s">
        <v>25</v>
      </c>
      <c r="D14" s="28">
        <v>20000</v>
      </c>
      <c r="E14" s="29" t="s">
        <v>45</v>
      </c>
      <c r="F14" s="28">
        <v>20000</v>
      </c>
      <c r="G14" s="30">
        <v>45954</v>
      </c>
      <c r="H14" s="29" t="s">
        <v>45</v>
      </c>
      <c r="I14" s="29" t="s">
        <v>45</v>
      </c>
      <c r="J14" s="14"/>
    </row>
    <row r="15" spans="2:10" s="2" customFormat="1" ht="16" customHeight="1" x14ac:dyDescent="0.2">
      <c r="B15" s="13" t="s">
        <v>21</v>
      </c>
      <c r="C15" s="40" t="s">
        <v>63</v>
      </c>
      <c r="D15" s="28">
        <v>4000</v>
      </c>
      <c r="E15" s="29" t="s">
        <v>45</v>
      </c>
      <c r="F15" s="28">
        <v>4000</v>
      </c>
      <c r="G15" s="30">
        <v>45951</v>
      </c>
      <c r="H15" s="29" t="s">
        <v>45</v>
      </c>
      <c r="I15" s="29" t="s">
        <v>45</v>
      </c>
      <c r="J15" s="14"/>
    </row>
    <row r="16" spans="2:10" s="2" customFormat="1" ht="16" customHeight="1" x14ac:dyDescent="0.2">
      <c r="B16" s="13" t="s">
        <v>21</v>
      </c>
      <c r="C16" s="40" t="s">
        <v>64</v>
      </c>
      <c r="D16" s="28">
        <v>3500</v>
      </c>
      <c r="E16" s="29" t="s">
        <v>45</v>
      </c>
      <c r="F16" s="28">
        <v>3500</v>
      </c>
      <c r="G16" s="30">
        <v>45951</v>
      </c>
      <c r="H16" s="29" t="s">
        <v>45</v>
      </c>
      <c r="I16" s="29" t="s">
        <v>45</v>
      </c>
      <c r="J16" s="14"/>
    </row>
    <row r="17" spans="2:10" s="2" customFormat="1" ht="16" customHeight="1" x14ac:dyDescent="0.2">
      <c r="B17" s="13" t="s">
        <v>21</v>
      </c>
      <c r="C17" s="40" t="s">
        <v>65</v>
      </c>
      <c r="D17" s="28">
        <v>3500</v>
      </c>
      <c r="E17" s="29" t="s">
        <v>45</v>
      </c>
      <c r="F17" s="28">
        <v>3500</v>
      </c>
      <c r="G17" s="30">
        <v>45950</v>
      </c>
      <c r="H17" s="29" t="s">
        <v>45</v>
      </c>
      <c r="I17" s="29" t="s">
        <v>45</v>
      </c>
      <c r="J17" s="14"/>
    </row>
    <row r="18" spans="2:10" s="2" customFormat="1" ht="16" customHeight="1" x14ac:dyDescent="0.2">
      <c r="B18" s="13" t="s">
        <v>21</v>
      </c>
      <c r="C18" s="27" t="s">
        <v>26</v>
      </c>
      <c r="D18" s="28">
        <v>25000</v>
      </c>
      <c r="E18" s="29" t="s">
        <v>45</v>
      </c>
      <c r="F18" s="38">
        <v>25000</v>
      </c>
      <c r="G18" s="39">
        <v>45952</v>
      </c>
      <c r="H18" s="41" t="s">
        <v>66</v>
      </c>
      <c r="I18" s="29" t="s">
        <v>45</v>
      </c>
      <c r="J18" s="14"/>
    </row>
    <row r="19" spans="2:10" s="2" customFormat="1" ht="16" customHeight="1" x14ac:dyDescent="0.2">
      <c r="B19" s="13" t="s">
        <v>21</v>
      </c>
      <c r="C19" s="27" t="s">
        <v>49</v>
      </c>
      <c r="D19" s="28">
        <v>40000</v>
      </c>
      <c r="E19" s="29" t="s">
        <v>45</v>
      </c>
      <c r="F19" s="28">
        <v>40000</v>
      </c>
      <c r="G19" s="30">
        <v>45940</v>
      </c>
      <c r="H19" s="29" t="s">
        <v>45</v>
      </c>
      <c r="I19" s="29" t="s">
        <v>45</v>
      </c>
      <c r="J19" s="14"/>
    </row>
    <row r="20" spans="2:10" s="2" customFormat="1" ht="16" customHeight="1" x14ac:dyDescent="0.2">
      <c r="B20" s="13" t="s">
        <v>21</v>
      </c>
      <c r="C20" s="27" t="s">
        <v>27</v>
      </c>
      <c r="D20" s="28">
        <v>10000</v>
      </c>
      <c r="E20" s="29" t="s">
        <v>45</v>
      </c>
      <c r="F20" s="28">
        <v>10000</v>
      </c>
      <c r="G20" s="30">
        <v>45947</v>
      </c>
      <c r="H20" s="29" t="s">
        <v>45</v>
      </c>
      <c r="I20" s="29" t="s">
        <v>45</v>
      </c>
      <c r="J20" s="14"/>
    </row>
    <row r="21" spans="2:10" s="2" customFormat="1" ht="16" customHeight="1" x14ac:dyDescent="0.2">
      <c r="B21" s="13" t="s">
        <v>21</v>
      </c>
      <c r="C21" s="27" t="s">
        <v>28</v>
      </c>
      <c r="D21" s="28">
        <v>15000</v>
      </c>
      <c r="E21" s="29" t="s">
        <v>45</v>
      </c>
      <c r="F21" s="28">
        <v>15000</v>
      </c>
      <c r="G21" s="30">
        <v>45958</v>
      </c>
      <c r="H21" s="29" t="s">
        <v>45</v>
      </c>
      <c r="I21" s="29" t="s">
        <v>45</v>
      </c>
      <c r="J21" s="14"/>
    </row>
    <row r="22" spans="2:10" s="2" customFormat="1" ht="16" customHeight="1" x14ac:dyDescent="0.2">
      <c r="B22" s="13" t="s">
        <v>21</v>
      </c>
      <c r="C22" s="27" t="s">
        <v>46</v>
      </c>
      <c r="D22" s="28">
        <v>8000</v>
      </c>
      <c r="E22" s="29" t="s">
        <v>45</v>
      </c>
      <c r="F22" s="28">
        <v>8000</v>
      </c>
      <c r="G22" s="30">
        <v>45952</v>
      </c>
      <c r="H22" s="29" t="s">
        <v>45</v>
      </c>
      <c r="I22" s="29" t="s">
        <v>45</v>
      </c>
      <c r="J22" s="14"/>
    </row>
    <row r="23" spans="2:10" s="2" customFormat="1" ht="16" customHeight="1" x14ac:dyDescent="0.2">
      <c r="B23" s="13" t="s">
        <v>21</v>
      </c>
      <c r="C23" s="27" t="s">
        <v>47</v>
      </c>
      <c r="D23" s="28">
        <v>10000</v>
      </c>
      <c r="E23" s="29" t="s">
        <v>45</v>
      </c>
      <c r="F23" s="28">
        <v>10000</v>
      </c>
      <c r="G23" s="30">
        <v>45958</v>
      </c>
      <c r="H23" s="29" t="s">
        <v>45</v>
      </c>
      <c r="I23" s="29" t="s">
        <v>45</v>
      </c>
      <c r="J23" s="14"/>
    </row>
    <row r="24" spans="2:10" s="2" customFormat="1" ht="16" customHeight="1" x14ac:dyDescent="0.2">
      <c r="B24" s="13" t="s">
        <v>21</v>
      </c>
      <c r="C24" s="27" t="s">
        <v>48</v>
      </c>
      <c r="D24" s="28">
        <v>8000</v>
      </c>
      <c r="E24" s="29" t="s">
        <v>45</v>
      </c>
      <c r="F24" s="28">
        <v>8000</v>
      </c>
      <c r="G24" s="30">
        <v>45952</v>
      </c>
      <c r="H24" s="29" t="s">
        <v>45</v>
      </c>
      <c r="I24" s="29" t="s">
        <v>45</v>
      </c>
      <c r="J24" s="14"/>
    </row>
    <row r="25" spans="2:10" s="2" customFormat="1" ht="16" customHeight="1" x14ac:dyDescent="0.2">
      <c r="B25" s="13" t="s">
        <v>21</v>
      </c>
      <c r="C25" s="27" t="s">
        <v>50</v>
      </c>
      <c r="D25" s="28">
        <v>5500</v>
      </c>
      <c r="E25" s="29" t="s">
        <v>45</v>
      </c>
      <c r="F25" s="28">
        <v>5500</v>
      </c>
      <c r="G25" s="30">
        <v>45950</v>
      </c>
      <c r="H25" s="29" t="s">
        <v>45</v>
      </c>
      <c r="I25" s="29" t="s">
        <v>45</v>
      </c>
      <c r="J25" s="14"/>
    </row>
    <row r="26" spans="2:10" s="2" customFormat="1" ht="16" customHeight="1" x14ac:dyDescent="0.2">
      <c r="B26" s="13" t="s">
        <v>21</v>
      </c>
      <c r="C26" s="27" t="s">
        <v>51</v>
      </c>
      <c r="D26" s="28">
        <v>10000</v>
      </c>
      <c r="E26" s="29" t="s">
        <v>45</v>
      </c>
      <c r="F26" s="28">
        <v>10000</v>
      </c>
      <c r="G26" s="30">
        <v>45945</v>
      </c>
      <c r="H26" s="29" t="s">
        <v>45</v>
      </c>
      <c r="I26" s="29" t="s">
        <v>45</v>
      </c>
      <c r="J26" s="14"/>
    </row>
    <row r="27" spans="2:10" s="2" customFormat="1" ht="16" customHeight="1" x14ac:dyDescent="0.2">
      <c r="B27" s="13" t="s">
        <v>21</v>
      </c>
      <c r="C27" s="27" t="s">
        <v>29</v>
      </c>
      <c r="D27" s="28">
        <v>50000</v>
      </c>
      <c r="E27" s="29" t="s">
        <v>45</v>
      </c>
      <c r="F27" s="28">
        <v>50000</v>
      </c>
      <c r="G27" s="30">
        <v>45939</v>
      </c>
      <c r="H27" s="29" t="s">
        <v>45</v>
      </c>
      <c r="I27" s="29"/>
      <c r="J27" s="14"/>
    </row>
    <row r="28" spans="2:10" s="2" customFormat="1" ht="16" customHeight="1" x14ac:dyDescent="0.2">
      <c r="B28" s="13" t="s">
        <v>21</v>
      </c>
      <c r="C28" s="27" t="s">
        <v>30</v>
      </c>
      <c r="D28" s="28">
        <v>38000</v>
      </c>
      <c r="E28" s="29" t="s">
        <v>45</v>
      </c>
      <c r="F28" s="28">
        <v>38000</v>
      </c>
      <c r="G28" s="30">
        <v>45950</v>
      </c>
      <c r="H28" s="29"/>
      <c r="I28" s="29"/>
      <c r="J28" s="14"/>
    </row>
    <row r="29" spans="2:10" s="2" customFormat="1" ht="16" customHeight="1" x14ac:dyDescent="0.2">
      <c r="B29" s="13" t="s">
        <v>21</v>
      </c>
      <c r="C29" s="27" t="s">
        <v>31</v>
      </c>
      <c r="D29" s="28">
        <v>15000</v>
      </c>
      <c r="E29" s="29" t="s">
        <v>45</v>
      </c>
      <c r="F29" s="28">
        <v>15000</v>
      </c>
      <c r="G29" s="30">
        <v>45940</v>
      </c>
      <c r="H29" s="29" t="s">
        <v>45</v>
      </c>
      <c r="I29" s="29" t="s">
        <v>45</v>
      </c>
      <c r="J29" s="14"/>
    </row>
    <row r="30" spans="2:10" s="2" customFormat="1" ht="16" customHeight="1" x14ac:dyDescent="0.2">
      <c r="B30" s="13" t="s">
        <v>21</v>
      </c>
      <c r="C30" s="27" t="s">
        <v>32</v>
      </c>
      <c r="D30" s="28">
        <v>15000</v>
      </c>
      <c r="E30" s="29" t="s">
        <v>45</v>
      </c>
      <c r="F30" s="28">
        <v>15000</v>
      </c>
      <c r="G30" s="30">
        <v>45931</v>
      </c>
      <c r="H30" s="29" t="s">
        <v>45</v>
      </c>
      <c r="I30" s="29" t="s">
        <v>45</v>
      </c>
      <c r="J30" s="14"/>
    </row>
    <row r="31" spans="2:10" s="2" customFormat="1" ht="16" customHeight="1" x14ac:dyDescent="0.2">
      <c r="B31" s="13" t="s">
        <v>21</v>
      </c>
      <c r="C31" s="27" t="s">
        <v>33</v>
      </c>
      <c r="D31" s="28">
        <v>10000</v>
      </c>
      <c r="E31" s="29" t="s">
        <v>45</v>
      </c>
      <c r="F31" s="28">
        <v>10000</v>
      </c>
      <c r="G31" s="30">
        <v>45953</v>
      </c>
      <c r="H31" s="31" t="s">
        <v>45</v>
      </c>
      <c r="I31" s="31" t="s">
        <v>45</v>
      </c>
      <c r="J31" s="14"/>
    </row>
    <row r="32" spans="2:10" s="2" customFormat="1" ht="16" customHeight="1" x14ac:dyDescent="0.2">
      <c r="B32" s="13" t="s">
        <v>21</v>
      </c>
      <c r="C32" s="27" t="s">
        <v>34</v>
      </c>
      <c r="D32" s="28">
        <v>30000</v>
      </c>
      <c r="E32" s="29" t="s">
        <v>45</v>
      </c>
      <c r="F32" s="28">
        <v>30000</v>
      </c>
      <c r="G32" s="30">
        <v>45947</v>
      </c>
      <c r="H32" s="29" t="s">
        <v>45</v>
      </c>
      <c r="I32" s="31" t="s">
        <v>45</v>
      </c>
      <c r="J32" s="14"/>
    </row>
    <row r="33" spans="2:10" s="2" customFormat="1" ht="16" customHeight="1" x14ac:dyDescent="0.2">
      <c r="B33" s="13" t="s">
        <v>21</v>
      </c>
      <c r="C33" s="27" t="s">
        <v>35</v>
      </c>
      <c r="D33" s="28">
        <v>15000</v>
      </c>
      <c r="E33" s="29" t="s">
        <v>45</v>
      </c>
      <c r="F33" s="28">
        <v>15000</v>
      </c>
      <c r="G33" s="30">
        <v>45953</v>
      </c>
      <c r="H33" s="31" t="s">
        <v>45</v>
      </c>
      <c r="I33" s="31" t="s">
        <v>45</v>
      </c>
      <c r="J33" s="14"/>
    </row>
    <row r="34" spans="2:10" s="2" customFormat="1" ht="16" customHeight="1" x14ac:dyDescent="0.2">
      <c r="B34" s="13" t="s">
        <v>21</v>
      </c>
      <c r="C34" s="27" t="s">
        <v>36</v>
      </c>
      <c r="D34" s="28">
        <v>8000</v>
      </c>
      <c r="E34" s="29" t="s">
        <v>45</v>
      </c>
      <c r="F34" s="28">
        <v>8000</v>
      </c>
      <c r="G34" s="30">
        <v>45957</v>
      </c>
      <c r="H34" s="31" t="s">
        <v>45</v>
      </c>
      <c r="I34" s="31" t="s">
        <v>45</v>
      </c>
      <c r="J34" s="14"/>
    </row>
    <row r="35" spans="2:10" s="2" customFormat="1" ht="16" customHeight="1" x14ac:dyDescent="0.2">
      <c r="B35" s="13" t="s">
        <v>21</v>
      </c>
      <c r="C35" s="27" t="s">
        <v>37</v>
      </c>
      <c r="D35" s="28">
        <v>25000</v>
      </c>
      <c r="E35" s="29" t="s">
        <v>45</v>
      </c>
      <c r="F35" s="28">
        <v>25000</v>
      </c>
      <c r="G35" s="30">
        <v>45954</v>
      </c>
      <c r="H35" s="31" t="s">
        <v>45</v>
      </c>
      <c r="I35" s="31" t="s">
        <v>45</v>
      </c>
      <c r="J35" s="14"/>
    </row>
    <row r="36" spans="2:10" s="2" customFormat="1" ht="16" customHeight="1" x14ac:dyDescent="0.2">
      <c r="B36" s="13" t="s">
        <v>21</v>
      </c>
      <c r="C36" s="27" t="s">
        <v>38</v>
      </c>
      <c r="D36" s="28">
        <v>50000</v>
      </c>
      <c r="E36" s="29" t="s">
        <v>45</v>
      </c>
      <c r="F36" s="28">
        <v>50000</v>
      </c>
      <c r="G36" s="30">
        <v>45958</v>
      </c>
      <c r="H36" s="31" t="s">
        <v>45</v>
      </c>
      <c r="I36" s="57" t="s">
        <v>45</v>
      </c>
      <c r="J36" s="14"/>
    </row>
    <row r="37" spans="2:10" s="2" customFormat="1" ht="16" customHeight="1" x14ac:dyDescent="0.2">
      <c r="B37" s="13" t="s">
        <v>21</v>
      </c>
      <c r="C37" s="27" t="s">
        <v>39</v>
      </c>
      <c r="D37" s="28">
        <v>75000</v>
      </c>
      <c r="E37" s="29" t="s">
        <v>45</v>
      </c>
      <c r="F37" s="28">
        <v>75000</v>
      </c>
      <c r="G37" s="30">
        <v>45937</v>
      </c>
      <c r="H37" s="31" t="s">
        <v>45</v>
      </c>
      <c r="I37" s="31" t="s">
        <v>45</v>
      </c>
      <c r="J37" s="14"/>
    </row>
    <row r="38" spans="2:10" s="2" customFormat="1" ht="16" customHeight="1" x14ac:dyDescent="0.2">
      <c r="B38" s="13" t="s">
        <v>43</v>
      </c>
      <c r="C38" s="27" t="s">
        <v>44</v>
      </c>
      <c r="D38" s="28">
        <v>61000</v>
      </c>
      <c r="E38" s="29" t="s">
        <v>45</v>
      </c>
      <c r="F38" s="28">
        <v>61000</v>
      </c>
      <c r="G38" s="30">
        <v>45940</v>
      </c>
      <c r="H38" s="31" t="s">
        <v>45</v>
      </c>
      <c r="I38" s="31" t="s">
        <v>45</v>
      </c>
      <c r="J38" s="14"/>
    </row>
    <row r="39" spans="2:10" s="2" customFormat="1" ht="16" customHeight="1" x14ac:dyDescent="0.2">
      <c r="B39" s="42" t="s">
        <v>52</v>
      </c>
      <c r="C39" s="43" t="s">
        <v>53</v>
      </c>
      <c r="D39" s="44">
        <v>100000</v>
      </c>
      <c r="E39" s="45" t="s">
        <v>45</v>
      </c>
      <c r="F39" s="44">
        <v>100000</v>
      </c>
      <c r="G39" s="46">
        <v>45939</v>
      </c>
      <c r="H39" s="45" t="s">
        <v>45</v>
      </c>
      <c r="I39" s="45" t="s">
        <v>45</v>
      </c>
      <c r="J39" s="47" t="s">
        <v>45</v>
      </c>
    </row>
    <row r="40" spans="2:10" s="2" customFormat="1" ht="16" customHeight="1" x14ac:dyDescent="0.2">
      <c r="B40" s="42" t="s">
        <v>52</v>
      </c>
      <c r="C40" s="43" t="s">
        <v>55</v>
      </c>
      <c r="D40" s="44">
        <v>15000</v>
      </c>
      <c r="E40" s="45" t="s">
        <v>45</v>
      </c>
      <c r="F40" s="44">
        <v>15000</v>
      </c>
      <c r="G40" s="46">
        <v>45937</v>
      </c>
      <c r="H40" s="45" t="s">
        <v>45</v>
      </c>
      <c r="I40" s="45" t="s">
        <v>45</v>
      </c>
      <c r="J40" s="47" t="s">
        <v>45</v>
      </c>
    </row>
    <row r="41" spans="2:10" s="2" customFormat="1" ht="16" customHeight="1" x14ac:dyDescent="0.2">
      <c r="B41" s="42" t="s">
        <v>52</v>
      </c>
      <c r="C41" s="43" t="s">
        <v>60</v>
      </c>
      <c r="D41" s="44">
        <v>30000</v>
      </c>
      <c r="E41" s="45" t="s">
        <v>45</v>
      </c>
      <c r="F41" s="44">
        <v>30000</v>
      </c>
      <c r="G41" s="46">
        <v>45943</v>
      </c>
      <c r="H41" s="45" t="s">
        <v>45</v>
      </c>
      <c r="I41" s="45" t="s">
        <v>45</v>
      </c>
      <c r="J41" s="47" t="s">
        <v>45</v>
      </c>
    </row>
    <row r="42" spans="2:10" s="2" customFormat="1" ht="16" customHeight="1" x14ac:dyDescent="0.2">
      <c r="B42" s="42" t="s">
        <v>52</v>
      </c>
      <c r="C42" s="43" t="s">
        <v>54</v>
      </c>
      <c r="D42" s="44">
        <v>10000</v>
      </c>
      <c r="E42" s="45" t="s">
        <v>45</v>
      </c>
      <c r="F42" s="44">
        <v>10000</v>
      </c>
      <c r="G42" s="46">
        <v>45937</v>
      </c>
      <c r="H42" s="45" t="s">
        <v>45</v>
      </c>
      <c r="I42" s="45" t="s">
        <v>45</v>
      </c>
      <c r="J42" s="47" t="s">
        <v>45</v>
      </c>
    </row>
    <row r="43" spans="2:10" s="2" customFormat="1" ht="16" customHeight="1" x14ac:dyDescent="0.2">
      <c r="B43" s="42" t="s">
        <v>58</v>
      </c>
      <c r="C43" s="43" t="s">
        <v>57</v>
      </c>
      <c r="D43" s="44">
        <v>20000</v>
      </c>
      <c r="E43" s="45" t="s">
        <v>45</v>
      </c>
      <c r="F43" s="44">
        <v>20000</v>
      </c>
      <c r="G43" s="46">
        <v>45943</v>
      </c>
      <c r="H43" s="45" t="s">
        <v>45</v>
      </c>
      <c r="I43" s="45" t="s">
        <v>45</v>
      </c>
      <c r="J43" s="47" t="s">
        <v>45</v>
      </c>
    </row>
    <row r="44" spans="2:10" s="2" customFormat="1" ht="16" customHeight="1" x14ac:dyDescent="0.2">
      <c r="B44" s="42" t="s">
        <v>52</v>
      </c>
      <c r="C44" s="43" t="s">
        <v>56</v>
      </c>
      <c r="D44" s="44">
        <v>25000</v>
      </c>
      <c r="E44" s="45" t="s">
        <v>45</v>
      </c>
      <c r="F44" s="49">
        <v>25000</v>
      </c>
      <c r="G44" s="50">
        <v>45939</v>
      </c>
      <c r="H44" s="48" t="s">
        <v>45</v>
      </c>
      <c r="I44" s="45" t="s">
        <v>45</v>
      </c>
      <c r="J44" s="47" t="s">
        <v>45</v>
      </c>
    </row>
    <row r="45" spans="2:10" s="2" customFormat="1" ht="16" customHeight="1" x14ac:dyDescent="0.2">
      <c r="B45" s="42" t="s">
        <v>52</v>
      </c>
      <c r="C45" s="43" t="s">
        <v>61</v>
      </c>
      <c r="D45" s="44">
        <v>5000</v>
      </c>
      <c r="E45" s="45" t="s">
        <v>45</v>
      </c>
      <c r="F45" s="44">
        <v>5000</v>
      </c>
      <c r="G45" s="46">
        <v>45938</v>
      </c>
      <c r="H45" s="45" t="s">
        <v>45</v>
      </c>
      <c r="I45" s="45" t="s">
        <v>45</v>
      </c>
      <c r="J45" s="47" t="s">
        <v>45</v>
      </c>
    </row>
    <row r="46" spans="2:10" s="2" customFormat="1" ht="16" customHeight="1" x14ac:dyDescent="0.2">
      <c r="B46" s="42" t="s">
        <v>52</v>
      </c>
      <c r="C46" s="43" t="s">
        <v>62</v>
      </c>
      <c r="D46" s="44">
        <f>20000+10000+8000+15000</f>
        <v>53000</v>
      </c>
      <c r="E46" s="45" t="s">
        <v>45</v>
      </c>
      <c r="F46" s="44">
        <v>53000</v>
      </c>
      <c r="G46" s="46">
        <v>45959</v>
      </c>
      <c r="H46" s="45" t="s">
        <v>45</v>
      </c>
      <c r="I46" s="45" t="s">
        <v>45</v>
      </c>
      <c r="J46" s="47" t="s">
        <v>45</v>
      </c>
    </row>
    <row r="47" spans="2:10" s="2" customFormat="1" ht="16" customHeight="1" thickBot="1" x14ac:dyDescent="0.25">
      <c r="B47" s="51"/>
      <c r="C47" s="52"/>
      <c r="D47" s="53"/>
      <c r="E47" s="54"/>
      <c r="F47" s="53"/>
      <c r="G47" s="55"/>
      <c r="H47" s="54"/>
      <c r="I47" s="54"/>
      <c r="J47" s="56"/>
    </row>
    <row r="48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H45:H47 H11:H17 I11:J47 H19:H43 E11:E47" xr:uid="{3548C87C-BEA9-704D-AB41-4F3CE0C6E217}">
      <formula1>"OUI,NON"</formula1>
    </dataValidation>
    <dataValidation type="list" allowBlank="1" showInputMessage="1" showErrorMessage="1" sqref="B11:B47" xr:uid="{ED5960E7-7E18-2C48-BF07-2B15F7DA8D19}">
      <formula1>"PER PANTHEA,ASV GENERALI,FAS LOMBARD, CTO NORTIA, ASV NORTIA, CONTRAT CAPI NORTIA"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21D4FC-2190-47BC-8607-FD49A50F4A1E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400ac3ce-c123-42d0-bfaf-41f6bbf712cc"/>
    <ds:schemaRef ds:uri="c73c546d-5213-4354-8753-20c3f93ccee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3B9D3E4-92EA-4C62-95C8-42EE5A1481B4}"/>
</file>

<file path=customXml/itemProps3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XS3127358490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2026-02-05T10:02:01Z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