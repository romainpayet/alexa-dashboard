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0.xml" ContentType="application/vnd.ms-excel.person+xml"/>
  <Override PartName="/xl/persons/person2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2. Enveloppes, Fiches Produits &amp; Docs réglementaires/5. Engie Octobre 25 (Generali)/"/>
    </mc:Choice>
  </mc:AlternateContent>
  <xr:revisionPtr revIDLastSave="33" documentId="13_ncr:1_{59B2C4B3-C7D7-8A47-9C20-4880C56A1170}" xr6:coauthVersionLast="47" xr6:coauthVersionMax="47" xr10:uidLastSave="{973E5378-B7E4-374F-BA75-762B1707CB8E}"/>
  <bookViews>
    <workbookView xWindow="0" yWindow="780" windowWidth="32840" windowHeight="20860" xr2:uid="{EE1CEB3C-BF88-4539-9AD6-83DF8278D958}"/>
  </bookViews>
  <sheets>
    <sheet name="XS312735849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4" i="1" s="1"/>
  <c r="F5" i="1"/>
  <c r="G5" i="1" s="1"/>
  <c r="F6" i="1" l="1"/>
  <c r="G6" i="1" s="1"/>
  <c r="B9" i="1"/>
</calcChain>
</file>

<file path=xl/sharedStrings.xml><?xml version="1.0" encoding="utf-8"?>
<sst xmlns="http://schemas.openxmlformats.org/spreadsheetml/2006/main" count="75" uniqueCount="51">
  <si>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</si>
  <si>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</si>
  <si>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</si>
  <si>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</si>
  <si>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</si>
  <si>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</si>
  <si>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</si>
  <si>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</si>
  <si>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</si>
  <si>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</si>
  <si>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</si>
  <si>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</si>
  <si>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</si>
  <si>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%</t>
  </si>
  <si>
    <t>Partenaire</t>
  </si>
  <si>
    <t>Versement Réel</t>
  </si>
  <si>
    <t>TOTAL Enveloppe</t>
  </si>
  <si>
    <t>Nom / Prénom / Entité du client</t>
  </si>
  <si>
    <t>NEXO</t>
  </si>
  <si>
    <t xml:space="preserve">XS3127358490 </t>
  </si>
  <si>
    <t>NexAutocall Alexa Engie Décrément 1.20 Octobre 2025</t>
  </si>
  <si>
    <t>ASV GENERALI</t>
  </si>
  <si>
    <t>ROUFFILANGE CLAUDE</t>
  </si>
  <si>
    <t>ROUFFILANGE Jean</t>
  </si>
  <si>
    <t>AUSSUDRE Charles</t>
  </si>
  <si>
    <t>HOEPFFNER Jean-Luc</t>
  </si>
  <si>
    <t>VERBRUGGEN Charlie</t>
  </si>
  <si>
    <t>LAHAYE Francois</t>
  </si>
  <si>
    <t>PAYET Charlotte</t>
  </si>
  <si>
    <t>DUFOUR Quentin</t>
  </si>
  <si>
    <t>HUYGHE Jean-Luc</t>
  </si>
  <si>
    <t>MOERDYK Steve</t>
  </si>
  <si>
    <t>ECHALIER Benjamin</t>
  </si>
  <si>
    <t>PEYRAT Philippe</t>
  </si>
  <si>
    <t>BURGAUD Jerome</t>
  </si>
  <si>
    <t>DARRIGADE Elise</t>
  </si>
  <si>
    <t>RINIERI Pierre</t>
  </si>
  <si>
    <t>BRISSON ARNAUD</t>
  </si>
  <si>
    <t>LASCAR Pierre</t>
  </si>
  <si>
    <t>EL-OKEILY Mohamed</t>
  </si>
  <si>
    <t>VIENNE Daphne</t>
  </si>
  <si>
    <t>GAYON Julien</t>
  </si>
  <si>
    <t>DEWINTER Margaux Anne-Claude</t>
  </si>
  <si>
    <t>ROUFFILANGE GUYLAINE</t>
  </si>
  <si>
    <t>GAYON Florence</t>
  </si>
  <si>
    <t>DDA envoyé ?</t>
  </si>
  <si>
    <t>DDA signé ?</t>
  </si>
  <si>
    <t xml:space="preserve"> </t>
  </si>
  <si>
    <t>PER PANTHEA</t>
  </si>
  <si>
    <t>MATTI Quentin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</si>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</sst>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i/>
      <sz val="11"/>
      <color theme="1"/>
      <name val="Aptos Narrow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9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8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8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horizontal="left" vertical="center" wrapText="1"/>
    </xf>
    <xf numFmtId="10" fontId="4" fillId="3" borderId="19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5" fontId="3" fillId="5" borderId="0" xfId="0" applyNumberFormat="1" applyFont="1" applyFill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12" Type="http://schemas.microsoft.com/office/2017/10/relationships/person" Target="persons/person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microsoft.com/office/2017/10/relationships/person" Target="persons/person0.xml"/><Relationship Id="rId5" Type="http://schemas.microsoft.com/office/2017/10/relationships/person" Target="persons/person.xml"/><Relationship Id="rId10" Type="http://schemas.microsoft.com/office/2017/10/relationships/person" Target="persons/person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I37"/>
  <sheetViews>
    <sheetView showGridLines="0" tabSelected="1" zoomScale="150" workbookViewId="0">
      <selection activeCell="C17" sqref="C17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56.1640625" style="1" bestFit="1" customWidth="1"/>
    <col min="4" max="9" width="17.33203125" style="1" customWidth="1"/>
    <col min="10" max="10" width="17.83203125" style="1" customWidth="1"/>
    <col min="11" max="16384" width="12.1640625" style="1"/>
  </cols>
  <sheetData>
    <row r="1" spans="2:9" ht="13" customHeight="1" thickBot="1" x14ac:dyDescent="0.25"/>
    <row r="2" spans="2:9" s="2" customFormat="1" ht="16" customHeight="1" thickBot="1" x14ac:dyDescent="0.25">
      <c r="B2" s="6" t="s">
        <v>1</v>
      </c>
      <c r="C2" s="7" t="s">
        <v>19</v>
      </c>
      <c r="E2" s="3"/>
      <c r="F2" s="29" t="s">
        <v>12</v>
      </c>
      <c r="G2" s="22" t="s">
        <v>13</v>
      </c>
    </row>
    <row r="3" spans="2:9" s="2" customFormat="1" ht="16" customHeight="1" thickBot="1" x14ac:dyDescent="0.25">
      <c r="B3" s="4" t="s">
        <v>2</v>
      </c>
      <c r="C3" s="8" t="s">
        <v>20</v>
      </c>
      <c r="E3" s="26" t="s">
        <v>16</v>
      </c>
      <c r="F3" s="30">
        <v>800000</v>
      </c>
      <c r="G3" s="23"/>
    </row>
    <row r="4" spans="2:9" s="2" customFormat="1" ht="16" customHeight="1" x14ac:dyDescent="0.2">
      <c r="B4" s="4" t="s">
        <v>0</v>
      </c>
      <c r="C4" s="9">
        <v>45961</v>
      </c>
      <c r="E4" s="26" t="s">
        <v>8</v>
      </c>
      <c r="F4" s="31">
        <f>SUM(D11:D36)</f>
        <v>517000</v>
      </c>
      <c r="G4" s="23" t="str">
        <f>TEXT(F4/$F$3,"0%") &amp; " de l'objectif"</f>
        <v>65% de l'objectif</v>
      </c>
      <c r="H4" s="48"/>
    </row>
    <row r="5" spans="2:9" s="2" customFormat="1" ht="16" customHeight="1" x14ac:dyDescent="0.2">
      <c r="B5" s="4" t="s">
        <v>14</v>
      </c>
      <c r="C5" s="9" t="s">
        <v>18</v>
      </c>
      <c r="E5" s="27" t="s">
        <v>9</v>
      </c>
      <c r="F5" s="32">
        <f>SUMIFS($F$11:$F$36,$E$11:$E$36,"OUI")</f>
        <v>15000</v>
      </c>
      <c r="G5" s="24" t="str">
        <f>TEXT(F5/$F$3,"0%") &amp; " de l'objectif"</f>
        <v>2% de l'objectif</v>
      </c>
      <c r="H5" s="48"/>
    </row>
    <row r="6" spans="2:9" s="2" customFormat="1" ht="16" customHeight="1" thickBot="1" x14ac:dyDescent="0.25">
      <c r="B6" s="4" t="s">
        <v>3</v>
      </c>
      <c r="C6" s="43">
        <v>0.12759999999999999</v>
      </c>
      <c r="E6" s="28" t="s">
        <v>11</v>
      </c>
      <c r="F6" s="33">
        <f>F5</f>
        <v>15000</v>
      </c>
      <c r="G6" s="25" t="str">
        <f>TEXT(F6/$F$3,"0%") &amp; " de l'objectif"</f>
        <v>2% de l'objectif</v>
      </c>
    </row>
    <row r="7" spans="2:9" s="2" customFormat="1" ht="16" customHeight="1" thickBot="1" x14ac:dyDescent="0.25">
      <c r="B7" s="5" t="s">
        <v>10</v>
      </c>
      <c r="C7" s="10">
        <v>1000000</v>
      </c>
    </row>
    <row r="8" spans="2:9" s="2" customFormat="1" ht="16" customHeight="1" thickBot="1" x14ac:dyDescent="0.25"/>
    <row r="9" spans="2:9" s="2" customFormat="1" ht="16" customHeight="1" thickBot="1" x14ac:dyDescent="0.25">
      <c r="B9" s="44" t="str">
        <f>"Suivi des intentions de souscription et des sousciptions réelles du produit " &amp;C3 &amp;" Code ISIN " &amp;C2</f>
        <v xml:space="preserve">Suivi des intentions de souscription et des sousciptions réelles du produit NexAutocall Alexa Engie Décrément 1.20 Octobre 2025 Code ISIN XS3127358490 </v>
      </c>
      <c r="C9" s="45"/>
      <c r="D9" s="45"/>
      <c r="E9" s="45"/>
      <c r="F9" s="45"/>
      <c r="G9" s="45"/>
      <c r="H9" s="45"/>
      <c r="I9" s="46"/>
    </row>
    <row r="10" spans="2:9" s="2" customFormat="1" ht="28" customHeight="1" thickBot="1" x14ac:dyDescent="0.25">
      <c r="B10" s="11" t="s">
        <v>4</v>
      </c>
      <c r="C10" s="12" t="s">
        <v>17</v>
      </c>
      <c r="D10" s="12" t="s">
        <v>5</v>
      </c>
      <c r="E10" s="13" t="s">
        <v>6</v>
      </c>
      <c r="F10" s="13" t="s">
        <v>15</v>
      </c>
      <c r="G10" s="13" t="s">
        <v>7</v>
      </c>
      <c r="H10" s="13" t="s">
        <v>45</v>
      </c>
      <c r="I10" s="14" t="s">
        <v>46</v>
      </c>
    </row>
    <row r="11" spans="2:9" s="2" customFormat="1" ht="16" customHeight="1" x14ac:dyDescent="0.2">
      <c r="B11" s="41" t="s">
        <v>21</v>
      </c>
      <c r="C11" s="42" t="s">
        <v>22</v>
      </c>
      <c r="D11" s="35">
        <v>10000</v>
      </c>
      <c r="E11" s="36"/>
      <c r="F11" s="35"/>
      <c r="G11" s="37"/>
      <c r="H11" s="36"/>
      <c r="I11" s="16" t="s">
        <v>47</v>
      </c>
    </row>
    <row r="12" spans="2:9" s="2" customFormat="1" ht="16" customHeight="1" x14ac:dyDescent="0.2">
      <c r="B12" s="15" t="s">
        <v>21</v>
      </c>
      <c r="C12" s="34" t="s">
        <v>23</v>
      </c>
      <c r="D12" s="35">
        <v>10000</v>
      </c>
      <c r="E12" s="36"/>
      <c r="F12" s="35"/>
      <c r="G12" s="37"/>
      <c r="H12" s="36"/>
      <c r="I12" s="16"/>
    </row>
    <row r="13" spans="2:9" s="2" customFormat="1" ht="16" customHeight="1" x14ac:dyDescent="0.2">
      <c r="B13" s="15" t="s">
        <v>21</v>
      </c>
      <c r="C13" s="34" t="s">
        <v>24</v>
      </c>
      <c r="D13" s="35">
        <v>10000</v>
      </c>
      <c r="E13" s="36"/>
      <c r="F13" s="35"/>
      <c r="G13" s="37"/>
      <c r="H13" s="36"/>
      <c r="I13" s="16"/>
    </row>
    <row r="14" spans="2:9" s="2" customFormat="1" ht="16" customHeight="1" x14ac:dyDescent="0.2">
      <c r="B14" s="15" t="s">
        <v>21</v>
      </c>
      <c r="C14" s="34" t="s">
        <v>25</v>
      </c>
      <c r="D14" s="35">
        <v>15000</v>
      </c>
      <c r="E14" s="36"/>
      <c r="F14" s="35"/>
      <c r="G14" s="37"/>
      <c r="H14" s="36"/>
      <c r="I14" s="16"/>
    </row>
    <row r="15" spans="2:9" s="2" customFormat="1" ht="16" customHeight="1" x14ac:dyDescent="0.2">
      <c r="B15" s="15" t="s">
        <v>21</v>
      </c>
      <c r="C15" s="34" t="s">
        <v>26</v>
      </c>
      <c r="D15" s="35">
        <v>25000</v>
      </c>
      <c r="E15" s="36"/>
      <c r="F15" s="35"/>
      <c r="G15" s="37"/>
      <c r="H15" s="36"/>
      <c r="I15" s="16"/>
    </row>
    <row r="16" spans="2:9" s="2" customFormat="1" ht="16" customHeight="1" x14ac:dyDescent="0.2">
      <c r="B16" s="15" t="s">
        <v>21</v>
      </c>
      <c r="C16" s="34" t="s">
        <v>27</v>
      </c>
      <c r="D16" s="35">
        <v>30000</v>
      </c>
      <c r="E16" s="36"/>
      <c r="F16" s="35"/>
      <c r="G16" s="37"/>
      <c r="H16" s="36"/>
      <c r="I16" s="16"/>
    </row>
    <row r="17" spans="2:9" s="2" customFormat="1" ht="16" customHeight="1" x14ac:dyDescent="0.2">
      <c r="B17" s="15" t="s">
        <v>21</v>
      </c>
      <c r="C17" s="34" t="s">
        <v>28</v>
      </c>
      <c r="D17" s="35">
        <v>8000</v>
      </c>
      <c r="E17" s="36"/>
      <c r="F17" s="38"/>
      <c r="G17" s="37"/>
      <c r="H17" s="36"/>
      <c r="I17" s="16"/>
    </row>
    <row r="18" spans="2:9" s="2" customFormat="1" ht="16" customHeight="1" x14ac:dyDescent="0.2">
      <c r="B18" s="15" t="s">
        <v>21</v>
      </c>
      <c r="C18" s="34" t="s">
        <v>29</v>
      </c>
      <c r="D18" s="35">
        <v>15000</v>
      </c>
      <c r="E18" s="36"/>
      <c r="F18" s="38"/>
      <c r="G18" s="37"/>
      <c r="H18" s="36"/>
      <c r="I18" s="16"/>
    </row>
    <row r="19" spans="2:9" s="2" customFormat="1" ht="16" customHeight="1" x14ac:dyDescent="0.2">
      <c r="B19" s="15" t="s">
        <v>21</v>
      </c>
      <c r="C19" s="34" t="s">
        <v>30</v>
      </c>
      <c r="D19" s="35">
        <v>25000</v>
      </c>
      <c r="E19" s="36"/>
      <c r="F19" s="38"/>
      <c r="G19" s="37"/>
      <c r="H19" s="36"/>
      <c r="I19" s="16"/>
    </row>
    <row r="20" spans="2:9" s="2" customFormat="1" ht="16" customHeight="1" x14ac:dyDescent="0.2">
      <c r="B20" s="15" t="s">
        <v>21</v>
      </c>
      <c r="C20" s="34" t="s">
        <v>31</v>
      </c>
      <c r="D20" s="35">
        <v>30000</v>
      </c>
      <c r="E20" s="36"/>
      <c r="F20" s="38"/>
      <c r="G20" s="37"/>
      <c r="H20" s="36"/>
      <c r="I20" s="16"/>
    </row>
    <row r="21" spans="2:9" s="2" customFormat="1" ht="16" customHeight="1" x14ac:dyDescent="0.2">
      <c r="B21" s="15" t="s">
        <v>21</v>
      </c>
      <c r="C21" s="34" t="s">
        <v>32</v>
      </c>
      <c r="D21" s="35">
        <v>15000</v>
      </c>
      <c r="E21" s="36"/>
      <c r="F21" s="38"/>
      <c r="G21" s="37"/>
      <c r="H21" s="36"/>
      <c r="I21" s="16"/>
    </row>
    <row r="22" spans="2:9" s="2" customFormat="1" ht="16" customHeight="1" x14ac:dyDescent="0.2">
      <c r="B22" s="15" t="s">
        <v>21</v>
      </c>
      <c r="C22" s="34" t="s">
        <v>33</v>
      </c>
      <c r="D22" s="35">
        <v>15000</v>
      </c>
      <c r="E22" s="36" t="s">
        <v>50</v>
      </c>
      <c r="F22" s="38">
        <v>15000</v>
      </c>
      <c r="G22" s="37">
        <v>45931</v>
      </c>
      <c r="H22" s="36"/>
      <c r="I22" s="16"/>
    </row>
    <row r="23" spans="2:9" s="2" customFormat="1" ht="16" customHeight="1" x14ac:dyDescent="0.2">
      <c r="B23" s="15" t="s">
        <v>21</v>
      </c>
      <c r="C23" s="34" t="s">
        <v>34</v>
      </c>
      <c r="D23" s="35">
        <v>8000</v>
      </c>
      <c r="E23" s="39"/>
      <c r="F23" s="38"/>
      <c r="G23" s="37"/>
      <c r="H23" s="39"/>
      <c r="I23" s="16"/>
    </row>
    <row r="24" spans="2:9" s="2" customFormat="1" ht="16" customHeight="1" x14ac:dyDescent="0.2">
      <c r="B24" s="15" t="s">
        <v>21</v>
      </c>
      <c r="C24" s="34" t="s">
        <v>35</v>
      </c>
      <c r="D24" s="35">
        <v>50000</v>
      </c>
      <c r="E24" s="39"/>
      <c r="F24" s="38"/>
      <c r="G24" s="37"/>
      <c r="H24" s="39"/>
      <c r="I24" s="16"/>
    </row>
    <row r="25" spans="2:9" s="2" customFormat="1" ht="16" customHeight="1" x14ac:dyDescent="0.2">
      <c r="B25" s="15" t="s">
        <v>21</v>
      </c>
      <c r="C25" s="34" t="s">
        <v>36</v>
      </c>
      <c r="D25" s="35">
        <v>10000</v>
      </c>
      <c r="E25" s="39"/>
      <c r="F25" s="38"/>
      <c r="G25" s="37"/>
      <c r="H25" s="39"/>
      <c r="I25" s="16"/>
    </row>
    <row r="26" spans="2:9" s="2" customFormat="1" ht="16" customHeight="1" x14ac:dyDescent="0.2">
      <c r="B26" s="15" t="s">
        <v>21</v>
      </c>
      <c r="C26" s="34" t="s">
        <v>37</v>
      </c>
      <c r="D26" s="47"/>
      <c r="E26" s="39"/>
      <c r="F26" s="35"/>
      <c r="G26" s="37"/>
      <c r="H26" s="39"/>
      <c r="I26" s="16"/>
    </row>
    <row r="27" spans="2:9" s="2" customFormat="1" ht="16" customHeight="1" x14ac:dyDescent="0.2">
      <c r="B27" s="15" t="s">
        <v>21</v>
      </c>
      <c r="C27" s="34" t="s">
        <v>38</v>
      </c>
      <c r="D27" s="35">
        <v>10000</v>
      </c>
      <c r="E27" s="39"/>
      <c r="F27" s="35"/>
      <c r="G27" s="37"/>
      <c r="H27" s="39"/>
      <c r="I27" s="16"/>
    </row>
    <row r="28" spans="2:9" s="2" customFormat="1" ht="16" customHeight="1" x14ac:dyDescent="0.2">
      <c r="B28" s="15" t="s">
        <v>21</v>
      </c>
      <c r="C28" s="34" t="s">
        <v>39</v>
      </c>
      <c r="D28" s="47"/>
      <c r="E28" s="39"/>
      <c r="F28" s="35"/>
      <c r="G28" s="37"/>
      <c r="H28" s="39"/>
      <c r="I28" s="16"/>
    </row>
    <row r="29" spans="2:9" s="2" customFormat="1" ht="16" customHeight="1" x14ac:dyDescent="0.2">
      <c r="B29" s="15" t="s">
        <v>21</v>
      </c>
      <c r="C29" s="34" t="s">
        <v>31</v>
      </c>
      <c r="D29" s="35">
        <v>10000</v>
      </c>
      <c r="E29" s="39"/>
      <c r="F29" s="35"/>
      <c r="G29" s="37"/>
      <c r="H29" s="39"/>
      <c r="I29" s="16"/>
    </row>
    <row r="30" spans="2:9" s="2" customFormat="1" ht="16" customHeight="1" x14ac:dyDescent="0.2">
      <c r="B30" s="15" t="s">
        <v>21</v>
      </c>
      <c r="C30" s="34" t="s">
        <v>40</v>
      </c>
      <c r="D30" s="35">
        <v>8000</v>
      </c>
      <c r="E30" s="39"/>
      <c r="F30" s="35"/>
      <c r="G30" s="37"/>
      <c r="H30" s="39"/>
      <c r="I30" s="16"/>
    </row>
    <row r="31" spans="2:9" s="2" customFormat="1" ht="16" customHeight="1" x14ac:dyDescent="0.2">
      <c r="B31" s="15" t="s">
        <v>21</v>
      </c>
      <c r="C31" s="34" t="s">
        <v>41</v>
      </c>
      <c r="D31" s="35">
        <v>30000</v>
      </c>
      <c r="E31" s="39"/>
      <c r="F31" s="35"/>
      <c r="G31" s="37"/>
      <c r="H31" s="39"/>
      <c r="I31" s="16"/>
    </row>
    <row r="32" spans="2:9" s="2" customFormat="1" ht="16" customHeight="1" x14ac:dyDescent="0.2">
      <c r="B32" s="15" t="s">
        <v>21</v>
      </c>
      <c r="C32" s="34" t="s">
        <v>42</v>
      </c>
      <c r="D32" s="35">
        <v>8000</v>
      </c>
      <c r="E32" s="39"/>
      <c r="F32" s="35"/>
      <c r="G32" s="37"/>
      <c r="H32" s="39"/>
      <c r="I32" s="16"/>
    </row>
    <row r="33" spans="2:9" s="2" customFormat="1" ht="16" customHeight="1" x14ac:dyDescent="0.2">
      <c r="B33" s="15" t="s">
        <v>21</v>
      </c>
      <c r="C33" s="34" t="s">
        <v>43</v>
      </c>
      <c r="D33" s="35">
        <v>50000</v>
      </c>
      <c r="E33" s="39"/>
      <c r="F33" s="35"/>
      <c r="G33" s="37"/>
      <c r="H33" s="39"/>
      <c r="I33" s="16"/>
    </row>
    <row r="34" spans="2:9" s="2" customFormat="1" ht="16" customHeight="1" x14ac:dyDescent="0.2">
      <c r="B34" s="15" t="s">
        <v>21</v>
      </c>
      <c r="C34" s="34" t="s">
        <v>44</v>
      </c>
      <c r="D34" s="35">
        <v>75000</v>
      </c>
      <c r="E34" s="39"/>
      <c r="F34" s="35"/>
      <c r="G34" s="37"/>
      <c r="H34" s="39"/>
      <c r="I34" s="16"/>
    </row>
    <row r="35" spans="2:9" s="2" customFormat="1" ht="16" customHeight="1" x14ac:dyDescent="0.2">
      <c r="B35" s="15" t="s">
        <v>48</v>
      </c>
      <c r="C35" s="34" t="s">
        <v>49</v>
      </c>
      <c r="D35" s="35">
        <v>50000</v>
      </c>
      <c r="E35" s="39"/>
      <c r="F35" s="35"/>
      <c r="G35" s="37"/>
      <c r="H35" s="39"/>
      <c r="I35" s="16"/>
    </row>
    <row r="36" spans="2:9" s="2" customFormat="1" ht="16" customHeight="1" thickBot="1" x14ac:dyDescent="0.25">
      <c r="B36" s="40"/>
      <c r="C36" s="18"/>
      <c r="D36" s="19"/>
      <c r="E36" s="17"/>
      <c r="F36" s="19"/>
      <c r="G36" s="20"/>
      <c r="H36" s="17"/>
      <c r="I36" s="21"/>
    </row>
    <row r="37" spans="2:9" s="2" customFormat="1" ht="16" customHeight="1" x14ac:dyDescent="0.2"/>
  </sheetData>
  <mergeCells count="1">
    <mergeCell ref="B9:I9"/>
  </mergeCells>
  <dataValidations count="3">
    <dataValidation type="list" allowBlank="1" showInputMessage="1" showErrorMessage="1" sqref="B11:B36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E11:E36 H11:I36" xr:uid="{3548C87C-BEA9-704D-AB41-4F3CE0C6E217}">
      <formula1>"OUI,NON"</formula1>
    </dataValidation>
    <dataValidation type="list" allowBlank="1" showInputMessage="1" showErrorMessage="1" sqref="C5" xr:uid="{37908525-FFBD-F54B-A84A-8AA55951D06F}">
      <formula1>"NEXO,IRBIS,KLEBER"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7f417cb716d5595fb741e4e88a7d6f82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640f38e2a6663f61c669e4a0efbd78c9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BAE31C-FCF5-4AA9-921B-39A9098A0E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21D4FC-2190-47BC-8607-FD49A50F4A1E}">
  <ds:schemaRefs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c73c546d-5213-4354-8753-20c3f93ccee9"/>
    <ds:schemaRef ds:uri="400ac3ce-c123-42d0-bfaf-41f6bbf712cc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CE8BA7D-E596-4929-AB70-0C3C8B5E8F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XS3127358490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2025-10-02T07:43:56Z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