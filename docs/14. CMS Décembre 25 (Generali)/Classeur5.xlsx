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https://alexa455.sharepoint.com/Documents partages/Gestion sous mandat/12-Relevés Titres/5. Suivi des Produits Structurés/1. Enveloppes, Fiches Produits &amp; Docs réglementaires/14. CMS Décembre 25 (Generali)/"/>
    </mc:Choice>
  </mc:AlternateContent>
  <xr:revisionPtr revIDLastSave="0" documentId="8_{D11997A7-AD7D-4629-BC34-90D262653035}" xr6:coauthVersionLast="47" xr6:coauthVersionMax="47" xr10:uidLastSave="{00000000-0000-0000-0000-000000000000}"/>
  <bookViews>
    <workbookView xWindow="0" yWindow="0" windowWidth="38400" windowHeight="21600" xr2:uid="{D416C3F4-45F1-4CA4-ACDC-ECCE5FC77FC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" l="1"/>
  <c r="H5" i="1"/>
  <c r="G5" i="1"/>
  <c r="I5" i="1" s="1"/>
  <c r="J5" i="1" s="1"/>
  <c r="H4" i="1"/>
  <c r="G4" i="1"/>
  <c r="I4" i="1" s="1"/>
  <c r="H3" i="1"/>
  <c r="G3" i="1"/>
  <c r="I3" i="1" s="1"/>
  <c r="J3" i="1" s="1"/>
  <c r="K4" i="1" l="1"/>
  <c r="J4" i="1"/>
</calcChain>
</file>

<file path=xl/sharedStrings.xml><?xml version="1.0" encoding="utf-8"?>
<sst xmlns="http://schemas.openxmlformats.org/spreadsheetml/2006/main" count="68" uniqueCount="38">
  <si>
    <t xml:space="preserve">ISIN </t>
  </si>
  <si>
    <t>FRSG00017667</t>
  </si>
  <si>
    <t>ALEXA</t>
  </si>
  <si>
    <t>WLC</t>
  </si>
  <si>
    <t>TOTAL</t>
  </si>
  <si>
    <t>%</t>
  </si>
  <si>
    <t xml:space="preserve">Nom Produit </t>
  </si>
  <si>
    <t>NexTaux CMS G Décembre 2025 - FRSG00017667</t>
  </si>
  <si>
    <t xml:space="preserve">TOTAL Intentions </t>
  </si>
  <si>
    <t>Strike</t>
  </si>
  <si>
    <t>TOTAL Versé</t>
  </si>
  <si>
    <t>Partenaire</t>
  </si>
  <si>
    <t>NEXO</t>
  </si>
  <si>
    <t>GENERALI</t>
  </si>
  <si>
    <t>TOTAL Validé</t>
  </si>
  <si>
    <t>Coupon Annuel</t>
  </si>
  <si>
    <t>Objectif de collecte</t>
  </si>
  <si>
    <t xml:space="preserve">Nom Client </t>
  </si>
  <si>
    <t xml:space="preserve">Entité </t>
  </si>
  <si>
    <t xml:space="preserve">Contrat </t>
  </si>
  <si>
    <t xml:space="preserve">Montant intention </t>
  </si>
  <si>
    <t>Versement fait ?</t>
  </si>
  <si>
    <t>Date de versement</t>
  </si>
  <si>
    <t>Versement arrivé sur contrat ?</t>
  </si>
  <si>
    <t>Date d'arrivée sur contrat</t>
  </si>
  <si>
    <t>Guylaine Rouffilange</t>
  </si>
  <si>
    <t>ASV GENERALI</t>
  </si>
  <si>
    <t>OUI</t>
  </si>
  <si>
    <t>ECHALIER Benjamin</t>
  </si>
  <si>
    <t>BAILLARDRAN Barbara</t>
  </si>
  <si>
    <t xml:space="preserve">LEE GUAN KOK LEATITIA </t>
  </si>
  <si>
    <t>LAHAYE</t>
  </si>
  <si>
    <t>Huyghe Jean Luc</t>
  </si>
  <si>
    <t>Il faut passer cet ordre en premier. C’est le seul client à traiter exceptionnellement en dessous de 5 K€.</t>
  </si>
  <si>
    <t>Moerdyk steeve</t>
  </si>
  <si>
    <t xml:space="preserve">Brisson Arnaud </t>
  </si>
  <si>
    <t>Florent Gras</t>
  </si>
  <si>
    <t>Florance Gayon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</si>
</sst>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_-;\-* #,##0.00_-;_-* &quot;-&quot;??_-;_-@_-"/>
    <numFmt numFmtId="165" formatCode="#,##0&quot;€&quot;;\(#,##0&quot;€&quot;\);\-"/>
    <numFmt numFmtId="166" formatCode="_-* #,##0.00\ [$€-40C]_-;\-* #,##0.00\ [$€-40C]_-;_-* &quot;-&quot;??\ [$€-40C]_-;_-@_-"/>
    <numFmt numFmtId="167" formatCode="#,##0&quot;€&quot;"/>
    <numFmt numFmtId="168" formatCode="#,##0.00\ &quot;€&quot;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0"/>
      <color theme="1"/>
      <name val="Century Gothic"/>
      <family val="1"/>
    </font>
    <font>
      <i/>
      <sz val="10"/>
      <color theme="1"/>
      <name val="Century Gothic"/>
      <family val="1"/>
    </font>
    <font>
      <b/>
      <sz val="11"/>
      <color rgb="FFEE0000"/>
      <name val="Aptos Narrow"/>
      <family val="2"/>
      <scheme val="minor"/>
    </font>
    <font>
      <b/>
      <sz val="10"/>
      <color theme="0"/>
      <name val="Century Gothic"/>
      <family val="1"/>
    </font>
    <font>
      <i/>
      <sz val="10"/>
      <color theme="0"/>
      <name val="Century Gothic"/>
      <family val="1"/>
    </font>
    <font>
      <b/>
      <u/>
      <sz val="11"/>
      <color theme="1"/>
      <name val="Aptos Narrow"/>
      <family val="2"/>
      <scheme val="minor"/>
    </font>
    <font>
      <b/>
      <u val="singleAccounting"/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/>
        <bgColor indexed="64"/>
      </patternFill>
    </fill>
  </fills>
  <borders count="30">
    <border>
      <left/>
      <right/>
      <top/>
      <bottom/>
      <diagonal/>
    </border>
    <border>
      <left style="medium">
        <color theme="1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thin">
        <color indexed="64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medium">
        <color theme="1"/>
      </right>
      <top/>
      <bottom style="thin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thin">
        <color indexed="64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2">
    <xf numFmtId="0" fontId="0" fillId="0" borderId="0" xfId="0"/>
    <xf numFmtId="0" fontId="3" fillId="2" borderId="0" xfId="0" applyFont="1" applyFill="1" applyAlignment="1">
      <alignment horizontal="center" vertical="top" wrapText="1"/>
    </xf>
    <xf numFmtId="0" fontId="3" fillId="2" borderId="1" xfId="0" applyFont="1" applyFill="1" applyBorder="1" applyAlignment="1">
      <alignment horizontal="left" vertical="center" wrapText="1"/>
    </xf>
    <xf numFmtId="0" fontId="0" fillId="3" borderId="2" xfId="0" applyFill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0" fillId="3" borderId="8" xfId="0" applyFill="1" applyBorder="1" applyAlignment="1">
      <alignment horizontal="left" vertical="center" wrapText="1"/>
    </xf>
    <xf numFmtId="16" fontId="3" fillId="2" borderId="9" xfId="0" applyNumberFormat="1" applyFont="1" applyFill="1" applyBorder="1" applyAlignment="1">
      <alignment horizontal="center" vertical="center" wrapText="1"/>
    </xf>
    <xf numFmtId="165" fontId="5" fillId="2" borderId="10" xfId="0" applyNumberFormat="1" applyFont="1" applyFill="1" applyBorder="1" applyAlignment="1">
      <alignment horizontal="left" vertical="center"/>
    </xf>
    <xf numFmtId="165" fontId="5" fillId="2" borderId="4" xfId="0" applyNumberFormat="1" applyFont="1" applyFill="1" applyBorder="1" applyAlignment="1">
      <alignment horizontal="center" vertical="center"/>
    </xf>
    <xf numFmtId="165" fontId="5" fillId="2" borderId="11" xfId="0" applyNumberFormat="1" applyFont="1" applyFill="1" applyBorder="1" applyAlignment="1">
      <alignment horizontal="center" vertical="center"/>
    </xf>
    <xf numFmtId="165" fontId="5" fillId="2" borderId="6" xfId="0" applyNumberFormat="1" applyFont="1" applyFill="1" applyBorder="1" applyAlignment="1">
      <alignment horizontal="center" vertical="center"/>
    </xf>
    <xf numFmtId="9" fontId="6" fillId="2" borderId="5" xfId="2" applyFont="1" applyFill="1" applyBorder="1" applyAlignment="1">
      <alignment horizontal="left" vertical="center"/>
    </xf>
    <xf numFmtId="14" fontId="1" fillId="3" borderId="8" xfId="0" applyNumberFormat="1" applyFont="1" applyFill="1" applyBorder="1" applyAlignment="1">
      <alignment horizontal="left" vertical="center" wrapText="1"/>
    </xf>
    <xf numFmtId="165" fontId="5" fillId="2" borderId="12" xfId="0" applyNumberFormat="1" applyFont="1" applyFill="1" applyBorder="1" applyAlignment="1">
      <alignment horizontal="left" vertical="center"/>
    </xf>
    <xf numFmtId="165" fontId="5" fillId="2" borderId="13" xfId="0" applyNumberFormat="1" applyFont="1" applyFill="1" applyBorder="1" applyAlignment="1">
      <alignment horizontal="center" vertical="center"/>
    </xf>
    <xf numFmtId="165" fontId="5" fillId="2" borderId="14" xfId="0" applyNumberFormat="1" applyFont="1" applyFill="1" applyBorder="1" applyAlignment="1">
      <alignment horizontal="center" vertical="center"/>
    </xf>
    <xf numFmtId="165" fontId="5" fillId="2" borderId="0" xfId="0" applyNumberFormat="1" applyFont="1" applyFill="1" applyAlignment="1">
      <alignment horizontal="center" vertical="center"/>
    </xf>
    <xf numFmtId="9" fontId="6" fillId="2" borderId="14" xfId="2" applyFont="1" applyFill="1" applyBorder="1" applyAlignment="1">
      <alignment horizontal="left" vertical="center"/>
    </xf>
    <xf numFmtId="165" fontId="3" fillId="2" borderId="0" xfId="0" applyNumberFormat="1" applyFont="1" applyFill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165" fontId="8" fillId="4" borderId="9" xfId="0" applyNumberFormat="1" applyFont="1" applyFill="1" applyBorder="1" applyAlignment="1">
      <alignment horizontal="left" vertical="center"/>
    </xf>
    <xf numFmtId="165" fontId="8" fillId="4" borderId="15" xfId="0" applyNumberFormat="1" applyFont="1" applyFill="1" applyBorder="1" applyAlignment="1">
      <alignment horizontal="center" vertical="center"/>
    </xf>
    <xf numFmtId="165" fontId="8" fillId="4" borderId="16" xfId="0" applyNumberFormat="1" applyFont="1" applyFill="1" applyBorder="1" applyAlignment="1">
      <alignment horizontal="center" vertical="center"/>
    </xf>
    <xf numFmtId="165" fontId="8" fillId="4" borderId="17" xfId="0" applyNumberFormat="1" applyFont="1" applyFill="1" applyBorder="1" applyAlignment="1">
      <alignment horizontal="center" vertical="center"/>
    </xf>
    <xf numFmtId="9" fontId="9" fillId="4" borderId="16" xfId="2" applyFont="1" applyFill="1" applyBorder="1" applyAlignment="1">
      <alignment horizontal="left" vertical="center"/>
    </xf>
    <xf numFmtId="10" fontId="3" fillId="3" borderId="8" xfId="0" applyNumberFormat="1" applyFont="1" applyFill="1" applyBorder="1" applyAlignment="1">
      <alignment horizontal="left" vertical="center" wrapText="1"/>
    </xf>
    <xf numFmtId="0" fontId="3" fillId="2" borderId="18" xfId="0" applyFont="1" applyFill="1" applyBorder="1" applyAlignment="1">
      <alignment horizontal="left" vertical="center" wrapText="1"/>
    </xf>
    <xf numFmtId="166" fontId="3" fillId="3" borderId="19" xfId="0" applyNumberFormat="1" applyFont="1" applyFill="1" applyBorder="1" applyAlignment="1">
      <alignment horizontal="left" vertical="center" wrapText="1"/>
    </xf>
    <xf numFmtId="0" fontId="3" fillId="2" borderId="20" xfId="0" applyFont="1" applyFill="1" applyBorder="1" applyAlignment="1">
      <alignment horizontal="left" vertical="center" wrapText="1"/>
    </xf>
    <xf numFmtId="0" fontId="3" fillId="2" borderId="21" xfId="0" applyFont="1" applyFill="1" applyBorder="1" applyAlignment="1">
      <alignment horizontal="left" vertical="center" wrapText="1"/>
    </xf>
    <xf numFmtId="166" fontId="3" fillId="2" borderId="21" xfId="0" applyNumberFormat="1" applyFont="1" applyFill="1" applyBorder="1" applyAlignment="1">
      <alignment horizontal="center" vertical="center" wrapText="1"/>
    </xf>
    <xf numFmtId="166" fontId="3" fillId="2" borderId="22" xfId="0" applyNumberFormat="1" applyFont="1" applyFill="1" applyBorder="1" applyAlignment="1">
      <alignment horizontal="center" vertical="center" wrapText="1"/>
    </xf>
    <xf numFmtId="0" fontId="1" fillId="3" borderId="23" xfId="0" applyFont="1" applyFill="1" applyBorder="1" applyAlignment="1">
      <alignment horizontal="left" vertical="center" wrapText="1"/>
    </xf>
    <xf numFmtId="0" fontId="1" fillId="3" borderId="24" xfId="0" applyFont="1" applyFill="1" applyBorder="1" applyAlignment="1">
      <alignment horizontal="left" vertical="center" wrapText="1"/>
    </xf>
    <xf numFmtId="166" fontId="1" fillId="3" borderId="24" xfId="0" applyNumberFormat="1" applyFont="1" applyFill="1" applyBorder="1" applyAlignment="1">
      <alignment horizontal="center" vertical="center" wrapText="1"/>
    </xf>
    <xf numFmtId="14" fontId="1" fillId="3" borderId="24" xfId="0" applyNumberFormat="1" applyFont="1" applyFill="1" applyBorder="1" applyAlignment="1">
      <alignment horizontal="center" vertical="center" wrapText="1"/>
    </xf>
    <xf numFmtId="14" fontId="1" fillId="3" borderId="11" xfId="0" applyNumberFormat="1" applyFont="1" applyFill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left" vertical="center" wrapText="1"/>
    </xf>
    <xf numFmtId="0" fontId="1" fillId="3" borderId="0" xfId="0" applyFont="1" applyFill="1" applyAlignment="1">
      <alignment horizontal="left" vertical="center" wrapText="1"/>
    </xf>
    <xf numFmtId="166" fontId="1" fillId="3" borderId="0" xfId="0" applyNumberFormat="1" applyFont="1" applyFill="1" applyAlignment="1">
      <alignment horizontal="center" vertical="center" wrapText="1"/>
    </xf>
    <xf numFmtId="14" fontId="1" fillId="3" borderId="0" xfId="0" applyNumberFormat="1" applyFont="1" applyFill="1" applyAlignment="1">
      <alignment horizontal="center" vertical="center" wrapText="1"/>
    </xf>
    <xf numFmtId="14" fontId="1" fillId="3" borderId="26" xfId="0" applyNumberFormat="1" applyFont="1" applyFill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left" wrapText="1"/>
    </xf>
    <xf numFmtId="0" fontId="1" fillId="3" borderId="0" xfId="0" applyFont="1" applyFill="1" applyAlignment="1">
      <alignment horizontal="left" wrapText="1"/>
    </xf>
    <xf numFmtId="166" fontId="1" fillId="3" borderId="0" xfId="0" applyNumberFormat="1" applyFont="1" applyFill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10" fillId="2" borderId="0" xfId="0" applyFont="1" applyFill="1" applyAlignment="1">
      <alignment horizontal="left" vertical="center"/>
    </xf>
    <xf numFmtId="0" fontId="2" fillId="3" borderId="25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166" fontId="2" fillId="3" borderId="0" xfId="0" applyNumberFormat="1" applyFont="1" applyFill="1" applyAlignment="1">
      <alignment horizontal="center" wrapText="1"/>
    </xf>
    <xf numFmtId="14" fontId="2" fillId="3" borderId="0" xfId="0" applyNumberFormat="1" applyFont="1" applyFill="1" applyAlignment="1">
      <alignment horizontal="center" vertical="center" wrapText="1"/>
    </xf>
    <xf numFmtId="166" fontId="2" fillId="3" borderId="0" xfId="0" applyNumberFormat="1" applyFont="1" applyFill="1" applyAlignment="1">
      <alignment horizontal="center" vertical="center" wrapText="1"/>
    </xf>
    <xf numFmtId="14" fontId="2" fillId="3" borderId="26" xfId="0" applyNumberFormat="1" applyFont="1" applyFill="1" applyBorder="1" applyAlignment="1">
      <alignment horizontal="center" vertical="center" wrapText="1"/>
    </xf>
    <xf numFmtId="0" fontId="2" fillId="2" borderId="25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166" fontId="2" fillId="2" borderId="0" xfId="0" applyNumberFormat="1" applyFont="1" applyFill="1" applyAlignment="1">
      <alignment horizontal="center" wrapText="1"/>
    </xf>
    <xf numFmtId="0" fontId="1" fillId="3" borderId="27" xfId="0" applyFont="1" applyFill="1" applyBorder="1" applyAlignment="1">
      <alignment horizontal="left" vertical="center" wrapText="1"/>
    </xf>
    <xf numFmtId="0" fontId="1" fillId="3" borderId="28" xfId="0" applyFont="1" applyFill="1" applyBorder="1" applyAlignment="1">
      <alignment horizontal="left" vertical="center" wrapText="1"/>
    </xf>
    <xf numFmtId="166" fontId="1" fillId="3" borderId="28" xfId="0" applyNumberFormat="1" applyFont="1" applyFill="1" applyBorder="1" applyAlignment="1">
      <alignment horizontal="center" wrapText="1"/>
    </xf>
    <xf numFmtId="166" fontId="1" fillId="3" borderId="28" xfId="0" applyNumberFormat="1" applyFont="1" applyFill="1" applyBorder="1" applyAlignment="1">
      <alignment horizontal="center" vertical="center" wrapText="1"/>
    </xf>
    <xf numFmtId="14" fontId="1" fillId="3" borderId="28" xfId="0" applyNumberFormat="1" applyFont="1" applyFill="1" applyBorder="1" applyAlignment="1">
      <alignment horizontal="center" vertical="center" wrapText="1"/>
    </xf>
    <xf numFmtId="14" fontId="1" fillId="3" borderId="29" xfId="0" applyNumberFormat="1" applyFont="1" applyFill="1" applyBorder="1" applyAlignment="1">
      <alignment horizontal="center" vertical="center" wrapText="1"/>
    </xf>
    <xf numFmtId="167" fontId="1" fillId="3" borderId="0" xfId="0" applyNumberFormat="1" applyFont="1" applyFill="1" applyAlignment="1">
      <alignment horizontal="left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25" xfId="0" applyFont="1" applyFill="1" applyBorder="1" applyAlignment="1">
      <alignment horizontal="center" vertical="center" wrapText="1"/>
    </xf>
    <xf numFmtId="167" fontId="1" fillId="3" borderId="0" xfId="0" applyNumberFormat="1" applyFont="1" applyFill="1" applyAlignment="1">
      <alignment horizontal="center" vertical="center" wrapText="1"/>
    </xf>
    <xf numFmtId="0" fontId="1" fillId="3" borderId="27" xfId="0" applyFont="1" applyFill="1" applyBorder="1" applyAlignment="1">
      <alignment horizontal="center" vertical="center" wrapText="1"/>
    </xf>
    <xf numFmtId="0" fontId="1" fillId="3" borderId="28" xfId="0" applyFont="1" applyFill="1" applyBorder="1" applyAlignment="1">
      <alignment horizontal="center" vertical="center" wrapText="1"/>
    </xf>
    <xf numFmtId="167" fontId="1" fillId="3" borderId="28" xfId="0" applyNumberFormat="1" applyFont="1" applyFill="1" applyBorder="1" applyAlignment="1">
      <alignment horizontal="center" vertical="center" wrapText="1"/>
    </xf>
    <xf numFmtId="166" fontId="11" fillId="2" borderId="0" xfId="0" applyNumberFormat="1" applyFont="1" applyFill="1" applyAlignment="1">
      <alignment horizontal="center" vertical="top" wrapText="1"/>
    </xf>
    <xf numFmtId="0" fontId="0" fillId="2" borderId="0" xfId="0" applyFill="1" applyAlignment="1">
      <alignment horizontal="left" indent="1"/>
    </xf>
    <xf numFmtId="168" fontId="3" fillId="2" borderId="0" xfId="0" applyNumberFormat="1" applyFont="1" applyFill="1"/>
    <xf numFmtId="166" fontId="2" fillId="2" borderId="0" xfId="1" applyNumberFormat="1" applyFont="1" applyFill="1" applyBorder="1"/>
    <xf numFmtId="0" fontId="3" fillId="2" borderId="20" xfId="0" applyFont="1" applyFill="1" applyBorder="1" applyAlignment="1">
      <alignment horizontal="left" vertical="center" wrapText="1"/>
    </xf>
    <xf numFmtId="0" fontId="3" fillId="2" borderId="21" xfId="0" applyFont="1" applyFill="1" applyBorder="1" applyAlignment="1">
      <alignment horizontal="left" vertical="center" wrapText="1"/>
    </xf>
    <xf numFmtId="0" fontId="3" fillId="2" borderId="22" xfId="0" applyFont="1" applyFill="1" applyBorder="1" applyAlignment="1">
      <alignment horizontal="left" vertical="center" wrapText="1"/>
    </xf>
  </cellXfs>
  <cellStyles count="3">
    <cellStyle name="Milliers" xfId="1" builtinId="3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46F4A-4EC2-4D95-9FAB-954B49059623}">
  <dimension ref="C1:L48"/>
  <sheetViews>
    <sheetView tabSelected="1" workbookViewId="0">
      <selection activeCell="D2" sqref="D2"/>
    </sheetView>
  </sheetViews>
  <sheetFormatPr baseColWidth="10" defaultColWidth="12" defaultRowHeight="15" x14ac:dyDescent="0.2"/>
  <cols>
    <col min="1" max="2" width="3.83203125" style="1" customWidth="1"/>
    <col min="3" max="3" width="32.5" style="1" customWidth="1"/>
    <col min="4" max="4" width="34.1640625" style="1" customWidth="1"/>
    <col min="5" max="5" width="14.83203125" style="1" customWidth="1"/>
    <col min="6" max="6" width="17.6640625" style="1" customWidth="1"/>
    <col min="7" max="7" width="14.33203125" style="1" customWidth="1"/>
    <col min="8" max="8" width="17.1640625" style="1" customWidth="1"/>
    <col min="9" max="9" width="17.83203125" style="1" customWidth="1"/>
    <col min="10" max="10" width="17.6640625" style="1" customWidth="1"/>
    <col min="11" max="11" width="26.83203125" style="1" bestFit="1" customWidth="1"/>
    <col min="12" max="12" width="12.6640625" style="1" bestFit="1" customWidth="1"/>
    <col min="13" max="16384" width="12" style="1"/>
  </cols>
  <sheetData>
    <row r="1" spans="3:11" ht="16" thickBot="1" x14ac:dyDescent="0.25"/>
    <row r="2" spans="3:11" s="4" customFormat="1" ht="17" thickBot="1" x14ac:dyDescent="0.25">
      <c r="C2" s="2" t="s">
        <v>0</v>
      </c>
      <c r="D2" s="3" t="s">
        <v>1</v>
      </c>
      <c r="F2" s="5"/>
      <c r="G2" s="6" t="s">
        <v>2</v>
      </c>
      <c r="H2" s="7" t="s">
        <v>3</v>
      </c>
      <c r="I2" s="8" t="s">
        <v>4</v>
      </c>
      <c r="J2" s="9" t="s">
        <v>5</v>
      </c>
    </row>
    <row r="3" spans="3:11" s="4" customFormat="1" ht="32" x14ac:dyDescent="0.2">
      <c r="C3" s="10" t="s">
        <v>6</v>
      </c>
      <c r="D3" s="11" t="s">
        <v>7</v>
      </c>
      <c r="E3" s="12">
        <v>46006</v>
      </c>
      <c r="F3" s="13" t="s">
        <v>8</v>
      </c>
      <c r="G3" s="14">
        <f>SUMIF(D11:D31,"ALEXA",F11:F31)</f>
        <v>500000</v>
      </c>
      <c r="H3" s="15">
        <f>SUMIF(D11:D31,"WLC",F11:F31)</f>
        <v>0</v>
      </c>
      <c r="I3" s="16">
        <f t="shared" ref="I3:I4" si="0">SUM(G3:H3)</f>
        <v>500000</v>
      </c>
      <c r="J3" s="17" t="str">
        <f>TEXT(I3/$D$7,"0%") &amp; " de l'objectif"</f>
        <v>100% de l'objectif</v>
      </c>
    </row>
    <row r="4" spans="3:11" s="4" customFormat="1" ht="16" x14ac:dyDescent="0.2">
      <c r="C4" s="10" t="s">
        <v>9</v>
      </c>
      <c r="D4" s="18">
        <v>46013</v>
      </c>
      <c r="F4" s="19" t="s">
        <v>10</v>
      </c>
      <c r="G4" s="20">
        <f>SUMIFS($F$11:$F$31,$G$11:$G$31,"OUI",$D$11:$D$31,"ALEXA")</f>
        <v>479000</v>
      </c>
      <c r="H4" s="21">
        <f>SUMIFS($F$11:$F$31,$G$11:$G$31,"OUI",$D$11:$D$31,"WLC")</f>
        <v>0</v>
      </c>
      <c r="I4" s="22">
        <f t="shared" si="0"/>
        <v>479000</v>
      </c>
      <c r="J4" s="23" t="str">
        <f t="shared" ref="J4" si="1">TEXT(I4/$D$7,"0%") &amp; " de l'objectif"</f>
        <v>96% de l'objectif</v>
      </c>
      <c r="K4" s="24">
        <f>I4-D7</f>
        <v>-21000</v>
      </c>
    </row>
    <row r="5" spans="3:11" s="4" customFormat="1" ht="17" thickBot="1" x14ac:dyDescent="0.25">
      <c r="C5" s="10" t="s">
        <v>11</v>
      </c>
      <c r="D5" s="18" t="s">
        <v>12</v>
      </c>
      <c r="E5" s="25" t="s">
        <v>13</v>
      </c>
      <c r="F5" s="26" t="s">
        <v>14</v>
      </c>
      <c r="G5" s="27">
        <f>SUMIFS($F$11:$F$31,$I$11:$I$31,"OUI",$D$11:$D$31,"ALEXA")</f>
        <v>479000</v>
      </c>
      <c r="H5" s="28">
        <f>SUMIFS($F$11:$F$31,$I$11:$I$31,"OUI",$D$11:$D$31,"WLC")</f>
        <v>0</v>
      </c>
      <c r="I5" s="29">
        <f>SUM(G5:H5)</f>
        <v>479000</v>
      </c>
      <c r="J5" s="30" t="str">
        <f>TEXT(I5/$D$7,"0%") &amp; " de l'objectif"</f>
        <v>96% de l'objectif</v>
      </c>
    </row>
    <row r="6" spans="3:11" s="4" customFormat="1" ht="16" x14ac:dyDescent="0.2">
      <c r="C6" s="10" t="s">
        <v>15</v>
      </c>
      <c r="D6" s="31">
        <v>7.0000000000000007E-2</v>
      </c>
    </row>
    <row r="7" spans="3:11" s="4" customFormat="1" ht="17" thickBot="1" x14ac:dyDescent="0.25">
      <c r="C7" s="32" t="s">
        <v>16</v>
      </c>
      <c r="D7" s="33">
        <v>500000</v>
      </c>
    </row>
    <row r="8" spans="3:11" s="4" customFormat="1" ht="16" thickBot="1" x14ac:dyDescent="0.25"/>
    <row r="9" spans="3:11" s="4" customFormat="1" ht="16" thickBot="1" x14ac:dyDescent="0.25">
      <c r="C9" s="79" t="str">
        <f>"Suivi des intentions de souscription et des sousciptions réelles du produit " &amp;D3 &amp;" Code ISIN " &amp;D2</f>
        <v>Suivi des intentions de souscription et des sousciptions réelles du produit NexTaux CMS G Décembre 2025 - FRSG00017667 Code ISIN FRSG00017667</v>
      </c>
      <c r="D9" s="80"/>
      <c r="E9" s="80"/>
      <c r="F9" s="80"/>
      <c r="G9" s="80"/>
      <c r="H9" s="80"/>
      <c r="I9" s="80"/>
      <c r="J9" s="81"/>
    </row>
    <row r="10" spans="3:11" s="4" customFormat="1" ht="33" thickBot="1" x14ac:dyDescent="0.25">
      <c r="C10" s="34" t="s">
        <v>17</v>
      </c>
      <c r="D10" s="35" t="s">
        <v>18</v>
      </c>
      <c r="E10" s="35" t="s">
        <v>19</v>
      </c>
      <c r="F10" s="35" t="s">
        <v>20</v>
      </c>
      <c r="G10" s="36" t="s">
        <v>21</v>
      </c>
      <c r="H10" s="36" t="s">
        <v>22</v>
      </c>
      <c r="I10" s="36" t="s">
        <v>23</v>
      </c>
      <c r="J10" s="37" t="s">
        <v>24</v>
      </c>
    </row>
    <row r="11" spans="3:11" s="4" customFormat="1" ht="16" x14ac:dyDescent="0.2">
      <c r="C11" s="38" t="s">
        <v>25</v>
      </c>
      <c r="D11" s="39" t="s">
        <v>2</v>
      </c>
      <c r="E11" s="39" t="s">
        <v>26</v>
      </c>
      <c r="F11" s="40">
        <v>250000</v>
      </c>
      <c r="G11" s="40" t="s">
        <v>27</v>
      </c>
      <c r="H11" s="41">
        <v>45988</v>
      </c>
      <c r="I11" s="40" t="s">
        <v>27</v>
      </c>
      <c r="J11" s="42">
        <v>45988</v>
      </c>
    </row>
    <row r="12" spans="3:11" s="4" customFormat="1" ht="16" x14ac:dyDescent="0.2">
      <c r="C12" s="43" t="s">
        <v>28</v>
      </c>
      <c r="D12" s="44" t="s">
        <v>2</v>
      </c>
      <c r="E12" s="44" t="s">
        <v>26</v>
      </c>
      <c r="F12" s="45">
        <v>7000</v>
      </c>
      <c r="G12" s="45" t="s">
        <v>27</v>
      </c>
      <c r="H12" s="46">
        <v>45981</v>
      </c>
      <c r="I12" s="45" t="s">
        <v>27</v>
      </c>
      <c r="J12" s="47">
        <v>45981</v>
      </c>
    </row>
    <row r="13" spans="3:11" s="4" customFormat="1" ht="16" x14ac:dyDescent="0.2">
      <c r="C13" s="43" t="s">
        <v>29</v>
      </c>
      <c r="D13" s="44" t="s">
        <v>2</v>
      </c>
      <c r="E13" s="44" t="s">
        <v>26</v>
      </c>
      <c r="F13" s="45">
        <v>6000</v>
      </c>
      <c r="G13" s="45" t="s">
        <v>27</v>
      </c>
      <c r="H13" s="46">
        <v>45981</v>
      </c>
      <c r="I13" s="45" t="s">
        <v>27</v>
      </c>
      <c r="J13" s="47">
        <v>45981</v>
      </c>
    </row>
    <row r="14" spans="3:11" s="51" customFormat="1" ht="16" x14ac:dyDescent="0.2">
      <c r="C14" s="48" t="s">
        <v>30</v>
      </c>
      <c r="D14" s="49" t="s">
        <v>2</v>
      </c>
      <c r="E14" s="49" t="s">
        <v>26</v>
      </c>
      <c r="F14" s="50">
        <v>6000</v>
      </c>
      <c r="G14" s="45" t="s">
        <v>27</v>
      </c>
      <c r="H14" s="46">
        <v>45981</v>
      </c>
      <c r="I14" s="45" t="s">
        <v>27</v>
      </c>
      <c r="J14" s="47">
        <v>45981</v>
      </c>
    </row>
    <row r="15" spans="3:11" s="4" customFormat="1" ht="16" x14ac:dyDescent="0.2">
      <c r="C15" s="43" t="s">
        <v>31</v>
      </c>
      <c r="D15" s="44" t="s">
        <v>2</v>
      </c>
      <c r="E15" s="44" t="s">
        <v>26</v>
      </c>
      <c r="F15" s="45">
        <v>10000</v>
      </c>
      <c r="G15" s="45" t="s">
        <v>27</v>
      </c>
      <c r="H15" s="46">
        <v>45981</v>
      </c>
      <c r="I15" s="45" t="s">
        <v>27</v>
      </c>
      <c r="J15" s="47">
        <v>45981</v>
      </c>
    </row>
    <row r="16" spans="3:11" s="4" customFormat="1" ht="16" hidden="1" x14ac:dyDescent="0.2">
      <c r="C16" s="43" t="s">
        <v>32</v>
      </c>
      <c r="D16" s="44" t="s">
        <v>2</v>
      </c>
      <c r="E16" s="44" t="s">
        <v>26</v>
      </c>
      <c r="F16" s="50">
        <v>0</v>
      </c>
      <c r="G16" s="45"/>
      <c r="H16" s="46"/>
      <c r="I16" s="45"/>
      <c r="J16" s="47"/>
      <c r="K16" s="52" t="s">
        <v>33</v>
      </c>
    </row>
    <row r="17" spans="3:10" s="4" customFormat="1" ht="16" x14ac:dyDescent="0.2">
      <c r="C17" s="53" t="s">
        <v>34</v>
      </c>
      <c r="D17" s="54" t="s">
        <v>2</v>
      </c>
      <c r="E17" s="54" t="s">
        <v>26</v>
      </c>
      <c r="F17" s="55">
        <v>15000</v>
      </c>
      <c r="G17" s="45"/>
      <c r="H17" s="56"/>
      <c r="I17" s="57"/>
      <c r="J17" s="58"/>
    </row>
    <row r="18" spans="3:10" s="4" customFormat="1" ht="16" hidden="1" x14ac:dyDescent="0.2">
      <c r="C18" s="59" t="s">
        <v>35</v>
      </c>
      <c r="D18" s="60" t="s">
        <v>2</v>
      </c>
      <c r="E18" s="60" t="s">
        <v>26</v>
      </c>
      <c r="F18" s="61">
        <v>0</v>
      </c>
      <c r="G18" s="45"/>
      <c r="H18" s="46"/>
      <c r="I18" s="45"/>
      <c r="J18" s="47"/>
    </row>
    <row r="19" spans="3:10" s="4" customFormat="1" ht="16" x14ac:dyDescent="0.2">
      <c r="C19" s="53" t="s">
        <v>36</v>
      </c>
      <c r="D19" s="54" t="s">
        <v>2</v>
      </c>
      <c r="E19" s="54" t="s">
        <v>26</v>
      </c>
      <c r="F19" s="55">
        <v>6000</v>
      </c>
      <c r="G19" s="45"/>
      <c r="H19" s="46"/>
      <c r="I19" s="45"/>
      <c r="J19" s="47"/>
    </row>
    <row r="20" spans="3:10" s="4" customFormat="1" ht="17" thickBot="1" x14ac:dyDescent="0.25">
      <c r="C20" s="62" t="s">
        <v>37</v>
      </c>
      <c r="D20" s="63" t="s">
        <v>2</v>
      </c>
      <c r="E20" s="63" t="s">
        <v>26</v>
      </c>
      <c r="F20" s="64">
        <v>200000</v>
      </c>
      <c r="G20" s="65" t="s">
        <v>27</v>
      </c>
      <c r="H20" s="66">
        <v>45985</v>
      </c>
      <c r="I20" s="65" t="s">
        <v>27</v>
      </c>
      <c r="J20" s="67">
        <v>45985</v>
      </c>
    </row>
    <row r="21" spans="3:10" s="4" customFormat="1" hidden="1" x14ac:dyDescent="0.2">
      <c r="C21" s="43"/>
      <c r="D21" s="44"/>
      <c r="E21" s="44"/>
      <c r="F21" s="68"/>
      <c r="G21" s="45"/>
      <c r="H21" s="46"/>
      <c r="I21" s="45"/>
      <c r="J21" s="47"/>
    </row>
    <row r="22" spans="3:10" s="4" customFormat="1" hidden="1" x14ac:dyDescent="0.2">
      <c r="C22" s="43"/>
      <c r="D22" s="44"/>
      <c r="E22" s="44"/>
      <c r="F22" s="68"/>
      <c r="G22" s="45"/>
      <c r="H22" s="46"/>
      <c r="I22" s="45"/>
      <c r="J22" s="47"/>
    </row>
    <row r="23" spans="3:10" s="4" customFormat="1" hidden="1" x14ac:dyDescent="0.2">
      <c r="C23" s="43"/>
      <c r="D23" s="44"/>
      <c r="E23" s="44"/>
      <c r="F23" s="68"/>
      <c r="G23" s="69"/>
      <c r="H23" s="46"/>
      <c r="I23" s="69"/>
      <c r="J23" s="47"/>
    </row>
    <row r="24" spans="3:10" s="4" customFormat="1" hidden="1" x14ac:dyDescent="0.2">
      <c r="C24" s="43"/>
      <c r="D24" s="44"/>
      <c r="E24" s="44"/>
      <c r="F24" s="68"/>
      <c r="G24" s="69"/>
      <c r="H24" s="46"/>
      <c r="I24" s="69"/>
      <c r="J24" s="47"/>
    </row>
    <row r="25" spans="3:10" s="4" customFormat="1" hidden="1" x14ac:dyDescent="0.2">
      <c r="C25" s="43"/>
      <c r="D25" s="44"/>
      <c r="E25" s="44"/>
      <c r="F25" s="68"/>
      <c r="G25" s="69"/>
      <c r="H25" s="46"/>
      <c r="I25" s="69"/>
      <c r="J25" s="47"/>
    </row>
    <row r="26" spans="3:10" s="4" customFormat="1" hidden="1" x14ac:dyDescent="0.2">
      <c r="C26" s="70"/>
      <c r="D26" s="69"/>
      <c r="E26" s="44"/>
      <c r="F26" s="71"/>
      <c r="G26" s="69"/>
      <c r="H26" s="46"/>
      <c r="I26" s="69"/>
      <c r="J26" s="47"/>
    </row>
    <row r="27" spans="3:10" s="4" customFormat="1" hidden="1" x14ac:dyDescent="0.2">
      <c r="C27" s="70"/>
      <c r="D27" s="69"/>
      <c r="E27" s="44"/>
      <c r="F27" s="71"/>
      <c r="G27" s="69"/>
      <c r="H27" s="46"/>
      <c r="I27" s="69"/>
      <c r="J27" s="47"/>
    </row>
    <row r="28" spans="3:10" s="4" customFormat="1" hidden="1" x14ac:dyDescent="0.2">
      <c r="C28" s="70"/>
      <c r="D28" s="69"/>
      <c r="E28" s="44"/>
      <c r="F28" s="71"/>
      <c r="G28" s="69"/>
      <c r="H28" s="46"/>
      <c r="I28" s="69"/>
      <c r="J28" s="47"/>
    </row>
    <row r="29" spans="3:10" s="4" customFormat="1" hidden="1" x14ac:dyDescent="0.2">
      <c r="C29" s="70"/>
      <c r="D29" s="69"/>
      <c r="E29" s="44"/>
      <c r="F29" s="71"/>
      <c r="G29" s="69"/>
      <c r="H29" s="46"/>
      <c r="I29" s="69"/>
      <c r="J29" s="47"/>
    </row>
    <row r="30" spans="3:10" s="4" customFormat="1" hidden="1" x14ac:dyDescent="0.2">
      <c r="C30" s="70"/>
      <c r="D30" s="69"/>
      <c r="E30" s="44"/>
      <c r="F30" s="71"/>
      <c r="G30" s="69"/>
      <c r="H30" s="46"/>
      <c r="I30" s="69"/>
      <c r="J30" s="47"/>
    </row>
    <row r="31" spans="3:10" s="4" customFormat="1" ht="16" hidden="1" thickBot="1" x14ac:dyDescent="0.25">
      <c r="C31" s="72"/>
      <c r="D31" s="73"/>
      <c r="E31" s="63"/>
      <c r="F31" s="74"/>
      <c r="G31" s="73"/>
      <c r="H31" s="66"/>
      <c r="I31" s="73"/>
      <c r="J31" s="67"/>
    </row>
    <row r="32" spans="3:10" s="4" customFormat="1" x14ac:dyDescent="0.2"/>
    <row r="33" spans="6:12" ht="18" x14ac:dyDescent="0.2">
      <c r="F33" s="75"/>
    </row>
    <row r="39" spans="6:12" x14ac:dyDescent="0.2">
      <c r="J39" s="76"/>
      <c r="K39" s="77"/>
      <c r="L39" s="78"/>
    </row>
    <row r="40" spans="6:12" x14ac:dyDescent="0.2">
      <c r="J40" s="76"/>
      <c r="K40" s="77"/>
      <c r="L40" s="78"/>
    </row>
    <row r="41" spans="6:12" x14ac:dyDescent="0.2">
      <c r="J41" s="76"/>
      <c r="K41" s="77"/>
      <c r="L41" s="78"/>
    </row>
    <row r="42" spans="6:12" x14ac:dyDescent="0.2">
      <c r="J42" s="76"/>
      <c r="K42" s="77"/>
      <c r="L42" s="78"/>
    </row>
    <row r="43" spans="6:12" x14ac:dyDescent="0.2">
      <c r="J43" s="76"/>
      <c r="K43" s="77"/>
      <c r="L43" s="78"/>
    </row>
    <row r="44" spans="6:12" x14ac:dyDescent="0.2">
      <c r="J44" s="76"/>
      <c r="K44" s="77"/>
      <c r="L44" s="78"/>
    </row>
    <row r="45" spans="6:12" x14ac:dyDescent="0.2">
      <c r="J45" s="76"/>
      <c r="K45" s="77"/>
      <c r="L45" s="78"/>
    </row>
    <row r="46" spans="6:12" x14ac:dyDescent="0.2">
      <c r="J46" s="76"/>
      <c r="K46" s="77"/>
      <c r="L46" s="78"/>
    </row>
    <row r="47" spans="6:12" x14ac:dyDescent="0.2">
      <c r="J47" s="76"/>
      <c r="K47" s="77"/>
      <c r="L47" s="78"/>
    </row>
    <row r="48" spans="6:12" x14ac:dyDescent="0.2">
      <c r="J48" s="76"/>
      <c r="K48" s="77"/>
      <c r="L48" s="78"/>
    </row>
  </sheetData>
  <mergeCells count="1">
    <mergeCell ref="C9:J9"/>
  </mergeCells>
  <dataValidations count="4">
    <dataValidation type="list" allowBlank="1" showInputMessage="1" showErrorMessage="1" sqref="D42:D43 D11:D31" xr:uid="{D99806D0-0C20-44D4-927D-EE43725BC65D}">
      <formula1>"ALEXA,WLC"</formula1>
    </dataValidation>
    <dataValidation type="list" allowBlank="1" showInputMessage="1" showErrorMessage="1" sqref="E42:E43 E11:E31" xr:uid="{781C5FE3-B8D8-4DEB-9DC5-D4417571D9EB}">
      <formula1>"ASV GENERALI,FAS LOMBARD, CTO NORTIA, ASV NORTIA, CONTRAT CAPI NORTIA"</formula1>
    </dataValidation>
    <dataValidation type="list" allowBlank="1" showInputMessage="1" showErrorMessage="1" sqref="G11:G31 I11:I31" xr:uid="{6E6A19FB-9FEC-4BD3-AE89-18FF6067FEF8}">
      <formula1>"OUI,NON"</formula1>
    </dataValidation>
    <dataValidation type="list" allowBlank="1" showInputMessage="1" showErrorMessage="1" sqref="D5" xr:uid="{B36BC386-E329-4D4C-AB92-00C479239E78}">
      <formula1>"NEXO,IRBIS,KLEBER"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73c546d-5213-4354-8753-20c3f93ccee9" xsi:nil="true"/>
    <lcf76f155ced4ddcb4097134ff3c332f xmlns="400ac3ce-c123-42d0-bfaf-41f6bbf712c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750CE8C23FEB48850B36DAEC97D9B5" ma:contentTypeVersion="13" ma:contentTypeDescription="Crée un document." ma:contentTypeScope="" ma:versionID="e1e0eaf573bd55c593ea9c79100df474">
  <xsd:schema xmlns:xsd="http://www.w3.org/2001/XMLSchema" xmlns:xs="http://www.w3.org/2001/XMLSchema" xmlns:p="http://schemas.microsoft.com/office/2006/metadata/properties" xmlns:ns2="400ac3ce-c123-42d0-bfaf-41f6bbf712cc" xmlns:ns3="c73c546d-5213-4354-8753-20c3f93ccee9" targetNamespace="http://schemas.microsoft.com/office/2006/metadata/properties" ma:root="true" ma:fieldsID="54a81a5e98bfce0530109500d748d60e" ns2:_="" ns3:_="">
    <xsd:import namespace="400ac3ce-c123-42d0-bfaf-41f6bbf712cc"/>
    <xsd:import namespace="c73c546d-5213-4354-8753-20c3f93cce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0ac3ce-c123-42d0-bfaf-41f6bbf71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Balises d’images" ma:readOnly="false" ma:fieldId="{5cf76f15-5ced-4ddc-b409-7134ff3c332f}" ma:taxonomyMulti="true" ma:sspId="dabde5e7-71b3-48e3-a7dd-5451a132f2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3c546d-5213-4354-8753-20c3f93ccee9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a5bd163-09ef-4f2c-8f61-7c578d674ed8}" ma:internalName="TaxCatchAll" ma:showField="CatchAllData" ma:web="c73c546d-5213-4354-8753-20c3f93cce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88E0E4D-26F2-43F7-A5FA-EBC696D8D3BA}">
  <ds:schemaRefs>
    <ds:schemaRef ds:uri="http://purl.org/dc/terms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400ac3ce-c123-42d0-bfaf-41f6bbf712cc"/>
    <ds:schemaRef ds:uri="http://www.w3.org/XML/1998/namespace"/>
    <ds:schemaRef ds:uri="http://schemas.microsoft.com/office/2006/documentManagement/types"/>
    <ds:schemaRef ds:uri="c73c546d-5213-4354-8753-20c3f93ccee9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FB3DDD2D-E339-4E68-831C-9CC2C209BE3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651E2B1-39A0-42D9-ABD1-31B04C32DB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0ac3ce-c123-42d0-bfaf-41f6bbf712cc"/>
    <ds:schemaRef ds:uri="c73c546d-5213-4354-8753-20c3f93cce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Paul NDONG</dc:creator>
  <cp:lastModifiedBy>Christian Paul Ndong</cp:lastModifiedBy>
  <dcterms:created xsi:type="dcterms:W3CDTF">2025-12-09T13:58:06Z</dcterms:created>
  <dcterms:modified xsi:type="dcterms:W3CDTF">2025-12-22T11:06:49Z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0x01010045750CE8C23FEB48850B36DAEC97D9B5</vt:lpwstr>
  </property>
  <property fmtid="{D5CDD505-2E9C-101B-9397-08002B2CF9AE}" pid="3" name="MediaServiceImageTags">
    <vt:lpwstr/>
  </property>
</Properties>
</file>