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8. OAT 10 ans Janvier 26/"/>
    </mc:Choice>
  </mc:AlternateContent>
  <xr:revisionPtr revIDLastSave="67" documentId="13_ncr:1_{658377C5-5DD7-594A-8566-2950F6568423}" xr6:coauthVersionLast="47" xr6:coauthVersionMax="47" xr10:uidLastSave="{BBFEBEDE-8FF5-2842-823A-E55E4FC99C53}"/>
  <bookViews>
    <workbookView xWindow="0" yWindow="500" windowWidth="38400" windowHeight="21100" xr2:uid="{EE1CEB3C-BF88-4539-9AD6-83DF8278D958}"/>
  </bookViews>
  <sheets>
    <sheet name="XS32112525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F4" i="1" l="1"/>
  <c r="F5" i="1" l="1"/>
  <c r="F6" i="1" l="1"/>
  <c r="B9" i="1"/>
</calcChain>
</file>

<file path=xl/sharedStrings.xml><?xml version="1.0" encoding="utf-8"?>
<sst xmlns="http://schemas.openxmlformats.org/spreadsheetml/2006/main" count="75" uniqueCount="35">
  <si>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</si>
  <si>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</si>
  <si>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</si>
  <si>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</si>
  <si>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</si>
  <si>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</si>
  <si>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</si>
  <si>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</si>
  <si>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</si>
  <si>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</si>
  <si>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</si>
  <si>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</si>
  <si>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</si>
  <si>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</si>
  <si>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</si>
  <si>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</si>
  <si>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</si>
  <si>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</si>
  <si>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</si>
  <si>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</si>
  <si>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</si>
  <si>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</si>
  <si>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</si>
  <si>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</si>
  <si>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Laurent Margaillan</t>
  </si>
  <si>
    <t>PHOENIX ALEXA FRANCE JANVIER 2026</t>
  </si>
  <si>
    <t>GMS Investissement</t>
  </si>
  <si>
    <t>Sophie Monteil</t>
  </si>
  <si>
    <t>Romain Payet</t>
  </si>
  <si>
    <t>Odile Lausin</t>
  </si>
  <si>
    <t>Clotilde JUN</t>
  </si>
  <si>
    <t>XS3211252559</t>
  </si>
  <si>
    <t>OUI</t>
  </si>
  <si>
    <t>Alexandre Ghizzardi</t>
  </si>
  <si>
    <t>PE Brochet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</si>
</sst>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I18" sqref="I18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31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25</v>
      </c>
      <c r="E3" s="24" t="s">
        <v>16</v>
      </c>
      <c r="F3" s="28">
        <f>C7-132000</f>
        <v>468000</v>
      </c>
      <c r="G3" s="41">
        <f>C7-F3</f>
        <v>132000</v>
      </c>
    </row>
    <row r="4" spans="2:10" s="2" customFormat="1" ht="16" customHeight="1" x14ac:dyDescent="0.2">
      <c r="B4" s="4" t="s">
        <v>0</v>
      </c>
      <c r="C4" s="7">
        <v>46037</v>
      </c>
      <c r="E4" s="24" t="s">
        <v>8</v>
      </c>
      <c r="F4" s="29">
        <f>SUM(D11:D36)</f>
        <v>470000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470000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0.09</v>
      </c>
      <c r="E6" s="26" t="s">
        <v>11</v>
      </c>
      <c r="F6" s="31">
        <f>F5</f>
        <v>470000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600000</v>
      </c>
    </row>
    <row r="8" spans="2:10" s="2" customFormat="1" ht="16" customHeight="1" thickBot="1" x14ac:dyDescent="0.25"/>
    <row r="9" spans="2:10" s="2" customFormat="1" ht="16" customHeight="1" thickBot="1" x14ac:dyDescent="0.25">
      <c r="B9" s="48" t="str">
        <f>"Suivi des intentions de souscription et des sousciptions réelles du produit " &amp;C3 &amp;" Code ISIN " &amp;C2</f>
        <v>Suivi des intentions de souscription et des sousciptions réelles du produit PHOENIX ALEXA FRANCE JANVIER 2026 Code ISIN XS3211252559</v>
      </c>
      <c r="C9" s="49"/>
      <c r="D9" s="49"/>
      <c r="E9" s="49"/>
      <c r="F9" s="49"/>
      <c r="G9" s="49"/>
      <c r="H9" s="49"/>
      <c r="I9" s="49"/>
      <c r="J9" s="50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26</v>
      </c>
      <c r="D11" s="33">
        <v>100000</v>
      </c>
      <c r="E11" s="34" t="s">
        <v>32</v>
      </c>
      <c r="F11" s="33">
        <v>100000</v>
      </c>
      <c r="G11" s="35">
        <v>45662</v>
      </c>
      <c r="H11" s="34" t="s">
        <v>32</v>
      </c>
      <c r="I11" s="34" t="s">
        <v>32</v>
      </c>
      <c r="J11" s="14" t="s">
        <v>32</v>
      </c>
    </row>
    <row r="12" spans="2:10" s="2" customFormat="1" ht="16" customHeight="1" x14ac:dyDescent="0.2">
      <c r="B12" s="13" t="s">
        <v>23</v>
      </c>
      <c r="C12" s="42" t="s">
        <v>27</v>
      </c>
      <c r="D12" s="33">
        <v>200000</v>
      </c>
      <c r="E12" s="34" t="s">
        <v>32</v>
      </c>
      <c r="F12" s="33">
        <v>200000</v>
      </c>
      <c r="G12" s="35">
        <v>46013</v>
      </c>
      <c r="H12" s="34" t="s">
        <v>32</v>
      </c>
      <c r="I12" s="34" t="s">
        <v>32</v>
      </c>
      <c r="J12" s="14" t="s">
        <v>32</v>
      </c>
    </row>
    <row r="13" spans="2:10" s="2" customFormat="1" ht="16" customHeight="1" x14ac:dyDescent="0.2">
      <c r="B13" s="13" t="s">
        <v>23</v>
      </c>
      <c r="C13" s="42" t="s">
        <v>28</v>
      </c>
      <c r="D13" s="33">
        <v>20000</v>
      </c>
      <c r="E13" s="34" t="s">
        <v>32</v>
      </c>
      <c r="F13" s="33">
        <v>20000</v>
      </c>
      <c r="G13" s="46">
        <v>46013</v>
      </c>
      <c r="H13" s="34" t="s">
        <v>32</v>
      </c>
      <c r="I13" s="34" t="s">
        <v>32</v>
      </c>
      <c r="J13" s="14" t="s">
        <v>32</v>
      </c>
    </row>
    <row r="14" spans="2:10" s="2" customFormat="1" ht="16" customHeight="1" x14ac:dyDescent="0.2">
      <c r="B14" s="13" t="s">
        <v>23</v>
      </c>
      <c r="C14" s="42" t="s">
        <v>29</v>
      </c>
      <c r="D14" s="47">
        <v>12000</v>
      </c>
      <c r="E14" s="34" t="s">
        <v>32</v>
      </c>
      <c r="F14" s="33">
        <v>12000</v>
      </c>
      <c r="G14" s="35">
        <v>45672</v>
      </c>
      <c r="H14" s="34" t="s">
        <v>32</v>
      </c>
      <c r="I14" s="34" t="s">
        <v>32</v>
      </c>
      <c r="J14" s="14" t="s">
        <v>32</v>
      </c>
    </row>
    <row r="15" spans="2:10" s="2" customFormat="1" ht="16" customHeight="1" x14ac:dyDescent="0.2">
      <c r="B15" s="13" t="s">
        <v>23</v>
      </c>
      <c r="C15" s="42" t="s">
        <v>30</v>
      </c>
      <c r="D15" s="33">
        <v>11000</v>
      </c>
      <c r="E15" s="34" t="s">
        <v>32</v>
      </c>
      <c r="F15" s="33">
        <v>11000</v>
      </c>
      <c r="G15" s="35">
        <v>45671</v>
      </c>
      <c r="H15" s="34" t="s">
        <v>32</v>
      </c>
      <c r="I15" s="34" t="s">
        <v>32</v>
      </c>
      <c r="J15" s="14" t="s">
        <v>32</v>
      </c>
    </row>
    <row r="16" spans="2:10" s="2" customFormat="1" ht="16" customHeight="1" x14ac:dyDescent="0.2">
      <c r="B16" s="13" t="s">
        <v>23</v>
      </c>
      <c r="C16" s="42" t="s">
        <v>24</v>
      </c>
      <c r="D16" s="33">
        <v>10000</v>
      </c>
      <c r="E16" s="34" t="s">
        <v>32</v>
      </c>
      <c r="F16" s="33">
        <v>10000</v>
      </c>
      <c r="G16" s="35">
        <v>46014</v>
      </c>
      <c r="H16" s="34" t="s">
        <v>32</v>
      </c>
      <c r="I16" s="34" t="s">
        <v>32</v>
      </c>
      <c r="J16" s="14" t="s">
        <v>32</v>
      </c>
    </row>
    <row r="17" spans="2:10" s="2" customFormat="1" ht="16" customHeight="1" x14ac:dyDescent="0.2">
      <c r="B17" s="13" t="s">
        <v>23</v>
      </c>
      <c r="C17" s="42" t="s">
        <v>33</v>
      </c>
      <c r="D17" s="33">
        <v>17000</v>
      </c>
      <c r="E17" s="34" t="s">
        <v>32</v>
      </c>
      <c r="F17" s="33">
        <v>17000</v>
      </c>
      <c r="G17" s="35">
        <v>45664</v>
      </c>
      <c r="H17" s="34" t="s">
        <v>32</v>
      </c>
      <c r="I17" s="34" t="s">
        <v>32</v>
      </c>
      <c r="J17" s="14" t="s">
        <v>32</v>
      </c>
    </row>
    <row r="18" spans="2:10" s="2" customFormat="1" ht="16" customHeight="1" x14ac:dyDescent="0.2">
      <c r="B18" s="13" t="s">
        <v>23</v>
      </c>
      <c r="C18" s="42" t="s">
        <v>34</v>
      </c>
      <c r="D18" s="33">
        <v>100000</v>
      </c>
      <c r="E18" s="34" t="s">
        <v>32</v>
      </c>
      <c r="F18" s="33">
        <v>100000</v>
      </c>
      <c r="G18" s="35">
        <v>46003</v>
      </c>
      <c r="H18" s="34" t="s">
        <v>32</v>
      </c>
      <c r="I18" s="34" t="s">
        <v>32</v>
      </c>
      <c r="J18" s="14" t="s">
        <v>32</v>
      </c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899F51-8776-4EDA-933D-0231E5EC91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http://schemas.openxmlformats.org/package/2006/metadata/core-properties"/>
    <ds:schemaRef ds:uri="http://purl.org/dc/elements/1.1/"/>
    <ds:schemaRef ds:uri="400ac3ce-c123-42d0-bfaf-41f6bbf712cc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c73c546d-5213-4354-8753-20c3f93ccee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XS3211252559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2026-02-11T07:40:52Z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