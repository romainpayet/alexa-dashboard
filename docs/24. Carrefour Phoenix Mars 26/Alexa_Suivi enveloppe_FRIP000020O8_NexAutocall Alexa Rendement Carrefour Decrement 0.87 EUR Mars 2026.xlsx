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1. Enveloppes, Fiches Produits &amp; Docs réglementaires/24. Carrefour Phoenix Mars 26/"/>
    </mc:Choice>
  </mc:AlternateContent>
  <xr:revisionPtr revIDLastSave="2" documentId="13_ncr:1_{47090B90-9E4B-0040-9AF4-9ABAB530F028}" xr6:coauthVersionLast="47" xr6:coauthVersionMax="47" xr10:uidLastSave="{F0811121-BE02-3945-AC09-C0C80A4F9A46}"/>
  <bookViews>
    <workbookView xWindow="0" yWindow="500" windowWidth="38400" windowHeight="17500" xr2:uid="{EE1CEB3C-BF88-4539-9AD6-83DF8278D958}"/>
  </bookViews>
  <sheets>
    <sheet name="FRIP000020O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 l="1"/>
  <c r="G3" i="1" s="1"/>
  <c r="F6" i="1" l="1"/>
  <c r="B9" i="1"/>
</calcChain>
</file>

<file path=xl/sharedStrings.xml><?xml version="1.0" encoding="utf-8"?>
<sst xmlns="http://schemas.openxmlformats.org/spreadsheetml/2006/main" count="60" uniqueCount="43">
  <si>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</si>
  <si>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</si>
  <si>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</si>
  <si>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</si>
  <si>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</si>
  <si>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</si>
  <si>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</si>
  <si>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</si>
  <si>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</si>
  <si>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</si>
  <si>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</si>
  <si>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</si>
  <si>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</si>
  <si>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%</t>
  </si>
  <si>
    <t>Partenaire</t>
  </si>
  <si>
    <t>Versement Réel</t>
  </si>
  <si>
    <t>TOTAL Enveloppe</t>
  </si>
  <si>
    <t>Nom / Prénom / Entité du client</t>
  </si>
  <si>
    <t>NEXO</t>
  </si>
  <si>
    <t>DDA envoyé ?</t>
  </si>
  <si>
    <t>DDA signé ?</t>
  </si>
  <si>
    <t>Frais ok ?</t>
  </si>
  <si>
    <t>100% de l'objectif</t>
  </si>
  <si>
    <t>CTO NORTIA</t>
  </si>
  <si>
    <t>TRESCO</t>
  </si>
  <si>
    <t>FAS LOMBARD</t>
  </si>
  <si>
    <t>Nathalie BOUDEY</t>
  </si>
  <si>
    <t>LMR Finances</t>
  </si>
  <si>
    <t>Alain PAYET</t>
  </si>
  <si>
    <t>Pierre-Edouard BROCHET</t>
  </si>
  <si>
    <t>AZUR MARKETING</t>
  </si>
  <si>
    <t>Christophe WECK</t>
  </si>
  <si>
    <t>Sophie MONTEIL</t>
  </si>
  <si>
    <t>SCI AGR4</t>
  </si>
  <si>
    <t>Franck DUPOUY</t>
  </si>
  <si>
    <t>Romain PAYET</t>
  </si>
  <si>
    <t>FRIP000020O8</t>
  </si>
  <si>
    <t>NexAutocall Alexa Rendement Carrefour Decrement 0.87 EUR Mars 2026</t>
  </si>
  <si>
    <t>COMGESA</t>
  </si>
  <si>
    <t>Jean-Lluc HUYGHE</t>
  </si>
  <si>
    <t>Pierre THOUEILLES</t>
  </si>
  <si>
    <t>Jerome BURGAUD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</si>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</sst>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)\ &quot;Rs&quot;_ ;_ * \(#,##0.00\)\ &quot;Rs&quot;_ ;_ * &quot;-&quot;??_)\ &quot;Rs&quot;_ ;_ @_ "/>
    <numFmt numFmtId="165" formatCode="_-* #,##0.00\ [$€-40C]_-;\-* #,##0.00\ [$€-40C]_-;_-* &quot;-&quot;??\ [$€-40C]_-;_-@_-"/>
    <numFmt numFmtId="166" formatCode="#,##0&quot;€&quot;"/>
    <numFmt numFmtId="167" formatCode="#,##0&quot;€&quot;;\(#,##0&quot;€&quot;\);\-"/>
    <numFmt numFmtId="168" formatCode="_([$€-2]\ * #,##0.00_);_([$€-2]\ * \(#,##0.00\);_([$€-2]\ 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i/>
      <sz val="11"/>
      <color theme="1"/>
      <name val="Aptos Narrow"/>
      <family val="2"/>
      <scheme val="minor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6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5" fontId="2" fillId="2" borderId="8" xfId="0" applyNumberFormat="1" applyFont="1" applyFill="1" applyBorder="1" applyAlignment="1">
      <alignment horizontal="center" vertical="center" wrapText="1"/>
    </xf>
    <xf numFmtId="165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6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9" fillId="4" borderId="15" xfId="1" applyFont="1" applyFill="1" applyBorder="1" applyAlignment="1">
      <alignment horizontal="left" vertical="center"/>
    </xf>
    <xf numFmtId="167" fontId="5" fillId="0" borderId="10" xfId="0" applyNumberFormat="1" applyFont="1" applyBorder="1" applyAlignment="1">
      <alignment horizontal="left" vertical="center"/>
    </xf>
    <xf numFmtId="167" fontId="5" fillId="0" borderId="12" xfId="0" applyNumberFormat="1" applyFont="1" applyBorder="1" applyAlignment="1">
      <alignment horizontal="left" vertical="center"/>
    </xf>
    <xf numFmtId="167" fontId="8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7" fontId="5" fillId="3" borderId="23" xfId="0" applyNumberFormat="1" applyFont="1" applyFill="1" applyBorder="1" applyAlignment="1">
      <alignment horizontal="center" vertical="center"/>
    </xf>
    <xf numFmtId="167" fontId="5" fillId="0" borderId="23" xfId="0" applyNumberFormat="1" applyFont="1" applyBorder="1" applyAlignment="1">
      <alignment horizontal="center" vertical="center"/>
    </xf>
    <xf numFmtId="167" fontId="5" fillId="0" borderId="24" xfId="0" applyNumberFormat="1" applyFont="1" applyBorder="1" applyAlignment="1">
      <alignment horizontal="center" vertical="center"/>
    </xf>
    <xf numFmtId="167" fontId="8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6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166" fontId="3" fillId="3" borderId="0" xfId="0" applyNumberFormat="1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10" fontId="4" fillId="3" borderId="19" xfId="0" applyNumberFormat="1" applyFont="1" applyFill="1" applyBorder="1" applyAlignment="1">
      <alignment horizontal="left" vertical="center" wrapText="1"/>
    </xf>
    <xf numFmtId="168" fontId="6" fillId="0" borderId="11" xfId="2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27" xfId="0" applyFill="1" applyBorder="1" applyAlignment="1">
      <alignment horizontal="left" vertical="center" wrapText="1"/>
    </xf>
    <xf numFmtId="14" fontId="0" fillId="3" borderId="0" xfId="0" applyNumberForma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J37"/>
  <sheetViews>
    <sheetView showGridLines="0" tabSelected="1" workbookViewId="0">
      <selection activeCell="C2" sqref="C2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70.1640625" style="1" customWidth="1"/>
    <col min="4" max="10" width="17.33203125" style="1" customWidth="1"/>
    <col min="11" max="11" width="17.83203125" style="1" customWidth="1"/>
    <col min="12" max="16384" width="12.1640625" style="1"/>
  </cols>
  <sheetData>
    <row r="1" spans="2:10" ht="13" customHeight="1" thickBot="1" x14ac:dyDescent="0.25"/>
    <row r="2" spans="2:10" s="2" customFormat="1" ht="16" customHeight="1" thickBot="1" x14ac:dyDescent="0.25">
      <c r="B2" s="6" t="s">
        <v>1</v>
      </c>
      <c r="C2" s="43" t="s">
        <v>36</v>
      </c>
      <c r="E2" s="3"/>
      <c r="F2" s="27" t="s">
        <v>12</v>
      </c>
      <c r="G2" s="20" t="s">
        <v>13</v>
      </c>
    </row>
    <row r="3" spans="2:10" s="2" customFormat="1" ht="16" customHeight="1" thickBot="1" x14ac:dyDescent="0.25">
      <c r="B3" s="4" t="s">
        <v>2</v>
      </c>
      <c r="C3" s="44" t="s">
        <v>37</v>
      </c>
      <c r="E3" s="24" t="s">
        <v>16</v>
      </c>
      <c r="F3" s="28">
        <v>850000</v>
      </c>
      <c r="G3" s="41">
        <f>F5-F3</f>
        <v>-700000</v>
      </c>
    </row>
    <row r="4" spans="2:10" s="2" customFormat="1" ht="16" customHeight="1" x14ac:dyDescent="0.2">
      <c r="B4" s="4" t="s">
        <v>0</v>
      </c>
      <c r="C4" s="7">
        <v>46094</v>
      </c>
      <c r="E4" s="24" t="s">
        <v>8</v>
      </c>
      <c r="F4" s="29">
        <f>SUM(D11:D36)</f>
        <v>850000</v>
      </c>
      <c r="G4" s="21" t="s">
        <v>22</v>
      </c>
    </row>
    <row r="5" spans="2:10" s="2" customFormat="1" ht="16" customHeight="1" x14ac:dyDescent="0.2">
      <c r="B5" s="4" t="s">
        <v>14</v>
      </c>
      <c r="C5" s="7" t="s">
        <v>18</v>
      </c>
      <c r="E5" s="25" t="s">
        <v>9</v>
      </c>
      <c r="F5" s="30">
        <f>SUM(F11:F36)</f>
        <v>150000</v>
      </c>
      <c r="G5" s="22" t="s">
        <v>22</v>
      </c>
    </row>
    <row r="6" spans="2:10" s="2" customFormat="1" ht="16" customHeight="1" thickBot="1" x14ac:dyDescent="0.25">
      <c r="B6" s="4" t="s">
        <v>3</v>
      </c>
      <c r="C6" s="40">
        <v>0.10299999999999999</v>
      </c>
      <c r="E6" s="26" t="s">
        <v>11</v>
      </c>
      <c r="F6" s="31">
        <f>F5</f>
        <v>150000</v>
      </c>
      <c r="G6" s="23" t="s">
        <v>22</v>
      </c>
    </row>
    <row r="7" spans="2:10" s="2" customFormat="1" ht="16" customHeight="1" thickBot="1" x14ac:dyDescent="0.25">
      <c r="B7" s="5" t="s">
        <v>10</v>
      </c>
      <c r="C7" s="8">
        <v>850000</v>
      </c>
    </row>
    <row r="8" spans="2:10" s="2" customFormat="1" ht="16" customHeight="1" thickBot="1" x14ac:dyDescent="0.25"/>
    <row r="9" spans="2:10" s="2" customFormat="1" ht="16" customHeight="1" thickBot="1" x14ac:dyDescent="0.25">
      <c r="B9" s="47" t="str">
        <f>"Suivi des intentions de souscription et des sousciptions réelles du produit " &amp;C3 &amp;" Code ISIN " &amp;C2</f>
        <v>Suivi des intentions de souscription et des sousciptions réelles du produit NexAutocall Alexa Rendement Carrefour Decrement 0.87 EUR Mars 2026 Code ISIN FRIP000020O8</v>
      </c>
      <c r="C9" s="48"/>
      <c r="D9" s="48"/>
      <c r="E9" s="48"/>
      <c r="F9" s="48"/>
      <c r="G9" s="48"/>
      <c r="H9" s="48"/>
      <c r="I9" s="48"/>
      <c r="J9" s="49"/>
    </row>
    <row r="10" spans="2:10" s="2" customFormat="1" ht="28" customHeight="1" thickBot="1" x14ac:dyDescent="0.25">
      <c r="B10" s="9" t="s">
        <v>4</v>
      </c>
      <c r="C10" s="10" t="s">
        <v>17</v>
      </c>
      <c r="D10" s="10" t="s">
        <v>5</v>
      </c>
      <c r="E10" s="11" t="s">
        <v>6</v>
      </c>
      <c r="F10" s="11" t="s">
        <v>15</v>
      </c>
      <c r="G10" s="11" t="s">
        <v>7</v>
      </c>
      <c r="H10" s="11" t="s">
        <v>19</v>
      </c>
      <c r="I10" s="11" t="s">
        <v>20</v>
      </c>
      <c r="J10" s="12" t="s">
        <v>21</v>
      </c>
    </row>
    <row r="11" spans="2:10" s="2" customFormat="1" ht="16" customHeight="1" x14ac:dyDescent="0.2">
      <c r="B11" s="39" t="s">
        <v>23</v>
      </c>
      <c r="C11" s="45" t="s">
        <v>24</v>
      </c>
      <c r="D11" s="33">
        <v>150000</v>
      </c>
      <c r="E11" s="34"/>
      <c r="F11" s="33"/>
      <c r="G11" s="35"/>
      <c r="H11" s="34"/>
      <c r="I11" s="34"/>
      <c r="J11" s="14"/>
    </row>
    <row r="12" spans="2:10" s="2" customFormat="1" ht="16" customHeight="1" x14ac:dyDescent="0.2">
      <c r="B12" s="13" t="s">
        <v>25</v>
      </c>
      <c r="C12" s="42" t="s">
        <v>32</v>
      </c>
      <c r="D12" s="33">
        <v>150000</v>
      </c>
      <c r="E12" s="34" t="s">
        <v>42</v>
      </c>
      <c r="F12" s="33">
        <v>150000</v>
      </c>
      <c r="G12" s="35">
        <v>46070</v>
      </c>
      <c r="H12" s="34" t="s">
        <v>42</v>
      </c>
      <c r="I12" s="34" t="s">
        <v>42</v>
      </c>
      <c r="J12" s="14"/>
    </row>
    <row r="13" spans="2:10" s="2" customFormat="1" ht="16" customHeight="1" x14ac:dyDescent="0.2">
      <c r="B13" s="13" t="s">
        <v>25</v>
      </c>
      <c r="C13" s="42" t="s">
        <v>27</v>
      </c>
      <c r="D13" s="33">
        <v>115000</v>
      </c>
      <c r="E13" s="34"/>
      <c r="F13" s="33"/>
      <c r="G13" s="35"/>
      <c r="H13" s="34"/>
      <c r="I13" s="34"/>
      <c r="J13" s="14"/>
    </row>
    <row r="14" spans="2:10" s="2" customFormat="1" ht="16" customHeight="1" x14ac:dyDescent="0.2">
      <c r="B14" s="13" t="s">
        <v>23</v>
      </c>
      <c r="C14" s="42" t="s">
        <v>33</v>
      </c>
      <c r="D14" s="33">
        <v>25000</v>
      </c>
      <c r="E14" s="34"/>
      <c r="F14" s="33"/>
      <c r="G14" s="35"/>
      <c r="H14" s="34"/>
      <c r="I14" s="34"/>
      <c r="J14" s="14"/>
    </row>
    <row r="15" spans="2:10" s="2" customFormat="1" ht="16" customHeight="1" x14ac:dyDescent="0.2">
      <c r="B15" s="13" t="s">
        <v>23</v>
      </c>
      <c r="C15" s="42" t="s">
        <v>26</v>
      </c>
      <c r="D15" s="33">
        <v>100000</v>
      </c>
      <c r="E15" s="34"/>
      <c r="F15" s="33"/>
      <c r="G15" s="35"/>
      <c r="H15" s="34"/>
      <c r="I15" s="34"/>
      <c r="J15" s="14"/>
    </row>
    <row r="16" spans="2:10" s="2" customFormat="1" ht="16" customHeight="1" x14ac:dyDescent="0.2">
      <c r="B16" s="13" t="s">
        <v>23</v>
      </c>
      <c r="C16" s="42" t="s">
        <v>38</v>
      </c>
      <c r="D16" s="33">
        <v>55000</v>
      </c>
      <c r="E16" s="34"/>
      <c r="F16" s="33"/>
      <c r="G16" s="35"/>
      <c r="H16" s="34"/>
      <c r="I16" s="34"/>
      <c r="J16" s="14"/>
    </row>
    <row r="17" spans="2:10" s="2" customFormat="1" ht="16" customHeight="1" x14ac:dyDescent="0.2">
      <c r="B17" s="13" t="s">
        <v>23</v>
      </c>
      <c r="C17" s="42" t="s">
        <v>39</v>
      </c>
      <c r="D17" s="33">
        <v>50000</v>
      </c>
      <c r="E17" s="34"/>
      <c r="F17" s="36"/>
      <c r="G17" s="35"/>
      <c r="H17" s="34"/>
      <c r="I17" s="34"/>
      <c r="J17" s="14"/>
    </row>
    <row r="18" spans="2:10" s="2" customFormat="1" ht="16" customHeight="1" x14ac:dyDescent="0.2">
      <c r="B18" s="13" t="s">
        <v>23</v>
      </c>
      <c r="C18" s="42" t="s">
        <v>34</v>
      </c>
      <c r="D18" s="33">
        <v>20000</v>
      </c>
      <c r="E18" s="34"/>
      <c r="F18" s="36"/>
      <c r="G18" s="35"/>
      <c r="H18" s="34"/>
      <c r="I18" s="34"/>
      <c r="J18" s="14"/>
    </row>
    <row r="19" spans="2:10" s="2" customFormat="1" ht="16" customHeight="1" x14ac:dyDescent="0.2">
      <c r="B19" s="13" t="s">
        <v>23</v>
      </c>
      <c r="C19" s="42" t="s">
        <v>28</v>
      </c>
      <c r="D19" s="33">
        <v>50000</v>
      </c>
      <c r="E19" s="34"/>
      <c r="F19" s="36"/>
      <c r="G19" s="35"/>
      <c r="H19" s="34"/>
      <c r="I19" s="34"/>
      <c r="J19" s="14"/>
    </row>
    <row r="20" spans="2:10" s="2" customFormat="1" ht="16" customHeight="1" x14ac:dyDescent="0.2">
      <c r="B20" s="13" t="s">
        <v>23</v>
      </c>
      <c r="C20" s="42" t="s">
        <v>35</v>
      </c>
      <c r="D20" s="33">
        <v>50000</v>
      </c>
      <c r="E20" s="34"/>
      <c r="F20" s="36"/>
      <c r="G20" s="35"/>
      <c r="H20" s="34"/>
      <c r="I20" s="34"/>
      <c r="J20" s="14"/>
    </row>
    <row r="21" spans="2:10" s="2" customFormat="1" ht="16" customHeight="1" x14ac:dyDescent="0.2">
      <c r="B21" s="13" t="s">
        <v>23</v>
      </c>
      <c r="C21" s="42" t="s">
        <v>40</v>
      </c>
      <c r="D21" s="33">
        <v>12000</v>
      </c>
      <c r="E21" s="34"/>
      <c r="F21" s="36"/>
      <c r="G21" s="35"/>
      <c r="H21" s="34"/>
      <c r="I21" s="34"/>
      <c r="J21" s="14"/>
    </row>
    <row r="22" spans="2:10" s="2" customFormat="1" ht="16" customHeight="1" x14ac:dyDescent="0.2">
      <c r="B22" s="13" t="s">
        <v>23</v>
      </c>
      <c r="C22" s="42" t="s">
        <v>29</v>
      </c>
      <c r="D22" s="33">
        <v>30000</v>
      </c>
      <c r="E22" s="34"/>
      <c r="F22" s="36"/>
      <c r="G22" s="35"/>
      <c r="H22" s="34"/>
      <c r="I22" s="34"/>
      <c r="J22" s="14"/>
    </row>
    <row r="23" spans="2:10" s="2" customFormat="1" ht="16" customHeight="1" x14ac:dyDescent="0.2">
      <c r="B23" s="13" t="s">
        <v>23</v>
      </c>
      <c r="C23" s="42" t="s">
        <v>41</v>
      </c>
      <c r="D23" s="33">
        <v>13000</v>
      </c>
      <c r="E23" s="37"/>
      <c r="F23" s="36"/>
      <c r="G23" s="35"/>
      <c r="H23" s="37"/>
      <c r="I23" s="37"/>
      <c r="J23" s="14"/>
    </row>
    <row r="24" spans="2:10" s="2" customFormat="1" ht="16" customHeight="1" x14ac:dyDescent="0.2">
      <c r="B24" s="13" t="s">
        <v>23</v>
      </c>
      <c r="C24" s="42" t="s">
        <v>30</v>
      </c>
      <c r="D24" s="33">
        <v>20000</v>
      </c>
      <c r="E24" s="37"/>
      <c r="F24" s="36"/>
      <c r="G24" s="46"/>
      <c r="H24" s="37"/>
      <c r="I24" s="37"/>
      <c r="J24" s="14"/>
    </row>
    <row r="25" spans="2:10" s="2" customFormat="1" ht="16" customHeight="1" x14ac:dyDescent="0.2">
      <c r="B25" s="13" t="s">
        <v>23</v>
      </c>
      <c r="C25" s="42" t="s">
        <v>31</v>
      </c>
      <c r="D25" s="33">
        <v>10000</v>
      </c>
      <c r="E25" s="37"/>
      <c r="F25" s="36"/>
      <c r="G25" s="35"/>
      <c r="H25" s="37"/>
      <c r="I25" s="37"/>
      <c r="J25" s="14"/>
    </row>
    <row r="26" spans="2:10" s="2" customFormat="1" ht="16" customHeight="1" x14ac:dyDescent="0.2">
      <c r="B26" s="13"/>
      <c r="C26" s="42"/>
      <c r="D26" s="33"/>
      <c r="E26" s="37"/>
      <c r="F26" s="33"/>
      <c r="G26" s="35"/>
      <c r="H26" s="37"/>
      <c r="I26" s="37"/>
      <c r="J26" s="14"/>
    </row>
    <row r="27" spans="2:10" s="2" customFormat="1" ht="16" customHeight="1" x14ac:dyDescent="0.2">
      <c r="B27" s="13"/>
      <c r="C27" s="42"/>
      <c r="D27" s="33"/>
      <c r="E27" s="37"/>
      <c r="F27" s="33"/>
      <c r="G27" s="35"/>
      <c r="H27" s="37"/>
      <c r="I27" s="37"/>
      <c r="J27" s="14"/>
    </row>
    <row r="28" spans="2:10" s="2" customFormat="1" ht="16" customHeight="1" x14ac:dyDescent="0.2">
      <c r="B28" s="13"/>
      <c r="C28" s="42"/>
      <c r="D28" s="33"/>
      <c r="E28" s="37"/>
      <c r="F28" s="33"/>
      <c r="G28" s="35"/>
      <c r="H28" s="37"/>
      <c r="I28" s="37"/>
      <c r="J28" s="14"/>
    </row>
    <row r="29" spans="2:10" s="2" customFormat="1" ht="16" customHeight="1" x14ac:dyDescent="0.2">
      <c r="B29" s="13"/>
      <c r="C29" s="42"/>
      <c r="D29" s="33"/>
      <c r="E29" s="37"/>
      <c r="F29" s="33"/>
      <c r="G29" s="35"/>
      <c r="H29" s="37"/>
      <c r="I29" s="37"/>
      <c r="J29" s="14"/>
    </row>
    <row r="30" spans="2:10" s="2" customFormat="1" ht="16" customHeight="1" x14ac:dyDescent="0.2">
      <c r="B30" s="13"/>
      <c r="C30" s="42"/>
      <c r="D30" s="33"/>
      <c r="E30" s="37"/>
      <c r="F30" s="33"/>
      <c r="G30" s="35"/>
      <c r="H30" s="37"/>
      <c r="I30" s="37"/>
      <c r="J30" s="14"/>
    </row>
    <row r="31" spans="2:10" s="2" customFormat="1" ht="16" customHeight="1" x14ac:dyDescent="0.2">
      <c r="B31" s="13"/>
      <c r="C31" s="42"/>
      <c r="D31" s="33"/>
      <c r="E31" s="37"/>
      <c r="F31" s="33"/>
      <c r="G31" s="35"/>
      <c r="H31" s="37"/>
      <c r="I31" s="37"/>
      <c r="J31" s="14"/>
    </row>
    <row r="32" spans="2:10" s="2" customFormat="1" ht="16" customHeight="1" x14ac:dyDescent="0.2">
      <c r="B32" s="13"/>
      <c r="C32" s="32"/>
      <c r="D32" s="33"/>
      <c r="E32" s="37"/>
      <c r="F32" s="33"/>
      <c r="G32" s="35"/>
      <c r="H32" s="37"/>
      <c r="I32" s="37"/>
      <c r="J32" s="14"/>
    </row>
    <row r="33" spans="2:10" s="2" customFormat="1" ht="16" customHeight="1" x14ac:dyDescent="0.2">
      <c r="B33" s="13"/>
      <c r="C33" s="32"/>
      <c r="D33" s="33"/>
      <c r="E33" s="37"/>
      <c r="F33" s="33"/>
      <c r="G33" s="35"/>
      <c r="H33" s="37"/>
      <c r="I33" s="37"/>
      <c r="J33" s="14"/>
    </row>
    <row r="34" spans="2:10" s="2" customFormat="1" ht="16" customHeight="1" x14ac:dyDescent="0.2">
      <c r="B34" s="13"/>
      <c r="C34" s="32"/>
      <c r="D34" s="33"/>
      <c r="E34" s="37"/>
      <c r="F34" s="33"/>
      <c r="G34" s="35"/>
      <c r="H34" s="37"/>
      <c r="I34" s="37"/>
      <c r="J34" s="14"/>
    </row>
    <row r="35" spans="2:10" s="2" customFormat="1" ht="16" customHeight="1" x14ac:dyDescent="0.2">
      <c r="B35" s="13"/>
      <c r="C35" s="32"/>
      <c r="D35" s="33"/>
      <c r="E35" s="37"/>
      <c r="F35" s="33"/>
      <c r="G35" s="35"/>
      <c r="H35" s="37"/>
      <c r="I35" s="37"/>
      <c r="J35" s="14"/>
    </row>
    <row r="36" spans="2:10" s="2" customFormat="1" ht="16" customHeight="1" thickBot="1" x14ac:dyDescent="0.25">
      <c r="B36" s="38"/>
      <c r="C36" s="16"/>
      <c r="D36" s="17"/>
      <c r="E36" s="15"/>
      <c r="F36" s="17"/>
      <c r="G36" s="18"/>
      <c r="H36" s="15"/>
      <c r="I36" s="15"/>
      <c r="J36" s="19"/>
    </row>
    <row r="37" spans="2:10" s="2" customFormat="1" ht="16" customHeight="1" x14ac:dyDescent="0.2"/>
  </sheetData>
  <mergeCells count="1">
    <mergeCell ref="B9:J9"/>
  </mergeCells>
  <dataValidations count="3">
    <dataValidation type="list" allowBlank="1" showInputMessage="1" showErrorMessage="1" sqref="B11:B36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H11:J36 E11:E36" xr:uid="{3548C87C-BEA9-704D-AB41-4F3CE0C6E217}">
      <formula1>"OUI,NON"</formula1>
    </dataValidation>
    <dataValidation type="list" allowBlank="1" showInputMessage="1" showErrorMessage="1" sqref="C5" xr:uid="{37908525-FFBD-F54B-A84A-8AA55951D06F}">
      <formula1>"NEXO,IRBIS,KLEBER"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611201c48f8d82244adefe1522c59f6f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848c8cf147630e03443f8b2f680a69e9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21D4FC-2190-47BC-8607-FD49A50F4A1E}">
  <ds:schemaRefs>
    <ds:schemaRef ds:uri="http://purl.org/dc/terms/"/>
    <ds:schemaRef ds:uri="400ac3ce-c123-42d0-bfaf-41f6bbf712cc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c73c546d-5213-4354-8753-20c3f93ccee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7F8DCCE-61D2-4CAD-82DA-516BF1FE4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E8BA7D-E596-4929-AB70-0C3C8B5E8F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FRIP000020O8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Christian Paul NDONG</cp:lastModifiedBy>
  <dcterms:created xsi:type="dcterms:W3CDTF">2025-06-26T08:01:56Z</dcterms:created>
  <dcterms:modified xsi:type="dcterms:W3CDTF">2026-03-10T13:29:05Z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