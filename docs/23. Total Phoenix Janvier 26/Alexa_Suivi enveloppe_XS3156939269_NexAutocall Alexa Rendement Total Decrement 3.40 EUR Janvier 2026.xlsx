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23. Total Phoenix Janvier 26/"/>
    </mc:Choice>
  </mc:AlternateContent>
  <xr:revisionPtr revIDLastSave="85" documentId="13_ncr:1_{E73F834E-6D05-5447-9026-DBC5B8CA7179}" xr6:coauthVersionLast="47" xr6:coauthVersionMax="47" xr10:uidLastSave="{ACE58141-8EAB-C94D-95A7-0D784F08F152}"/>
  <bookViews>
    <workbookView xWindow="0" yWindow="500" windowWidth="34200" windowHeight="21100" xr2:uid="{EE1CEB3C-BF88-4539-9AD6-83DF8278D958}"/>
  </bookViews>
  <sheets>
    <sheet name="XS31569392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4" i="1"/>
  <c r="F3" i="1" l="1"/>
  <c r="F5" i="1" l="1"/>
  <c r="F6" i="1" l="1"/>
  <c r="B9" i="1"/>
</calcChain>
</file>

<file path=xl/sharedStrings.xml><?xml version="1.0" encoding="utf-8"?>
<sst xmlns="http://schemas.openxmlformats.org/spreadsheetml/2006/main" count="99" uniqueCount="40">
  <si>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</si>
  <si>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</si>
  <si>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</si>
  <si>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</si>
  <si>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</si>
  <si>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</si>
  <si>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</si>
  <si>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</si>
  <si>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</si>
  <si>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</si>
  <si>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</si>
  <si>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</si>
  <si>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</si>
  <si>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</si>
  <si>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</si>
  <si>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</si>
  <si>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</si>
  <si>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</si>
  <si>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</si>
  <si>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</si>
  <si>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</si>
  <si>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</si>
  <si>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</si>
  <si>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</si>
  <si>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>Laurent Margaillan</t>
  </si>
  <si>
    <t>GMS Investissement</t>
  </si>
  <si>
    <t>Sophie Monteil</t>
  </si>
  <si>
    <t>Clotilde JUN</t>
  </si>
  <si>
    <t>XS3156939269</t>
  </si>
  <si>
    <t>NexAutocall Alexa Rendement Total Decrement 3.40 EUR Janvier 2026</t>
  </si>
  <si>
    <t>COAXIS</t>
  </si>
  <si>
    <t xml:space="preserve">Le fournil </t>
  </si>
  <si>
    <t>Aranud Peyroche</t>
  </si>
  <si>
    <t>Pierre LASCAR</t>
  </si>
  <si>
    <t>GHIZZARDI</t>
  </si>
  <si>
    <t xml:space="preserve">AZUR Marketing </t>
  </si>
  <si>
    <t>Léa MALAPERT</t>
  </si>
  <si>
    <t>OUI</t>
  </si>
  <si>
    <t>AGR4</t>
  </si>
  <si>
    <t>FAS LOMBARD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</si>
</sst>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D18" sqref="D18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2" t="s">
        <v>28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3" t="s">
        <v>29</v>
      </c>
      <c r="E3" s="24" t="s">
        <v>16</v>
      </c>
      <c r="F3" s="28">
        <f>C7-50000</f>
        <v>450000</v>
      </c>
      <c r="G3" s="40">
        <f>F4-F3</f>
        <v>0</v>
      </c>
    </row>
    <row r="4" spans="2:10" s="2" customFormat="1" ht="16" customHeight="1" x14ac:dyDescent="0.2">
      <c r="B4" s="4" t="s">
        <v>0</v>
      </c>
      <c r="C4" s="7">
        <v>46052</v>
      </c>
      <c r="E4" s="24" t="s">
        <v>8</v>
      </c>
      <c r="F4" s="29">
        <f>SUM(D11:D36)</f>
        <v>450000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450000</v>
      </c>
      <c r="G5" s="22" t="s">
        <v>22</v>
      </c>
    </row>
    <row r="6" spans="2:10" s="2" customFormat="1" ht="16" customHeight="1" thickBot="1" x14ac:dyDescent="0.25">
      <c r="B6" s="4" t="s">
        <v>3</v>
      </c>
      <c r="C6" s="39">
        <v>0.11</v>
      </c>
      <c r="E6" s="26" t="s">
        <v>11</v>
      </c>
      <c r="F6" s="31">
        <f>F5</f>
        <v>450000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500000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NexAutocall Alexa Rendement Total Decrement 3.40 EUR Janvier 2026 Code ISIN XS3156939269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8" t="s">
        <v>23</v>
      </c>
      <c r="C11" s="44" t="s">
        <v>25</v>
      </c>
      <c r="D11" s="33">
        <v>50000</v>
      </c>
      <c r="E11" s="34" t="s">
        <v>37</v>
      </c>
      <c r="F11" s="33">
        <v>50000</v>
      </c>
      <c r="G11" s="35">
        <v>46048</v>
      </c>
      <c r="H11" s="34" t="s">
        <v>37</v>
      </c>
      <c r="I11" s="34" t="s">
        <v>37</v>
      </c>
      <c r="J11" s="14" t="s">
        <v>37</v>
      </c>
    </row>
    <row r="12" spans="2:10" s="2" customFormat="1" ht="16" customHeight="1" x14ac:dyDescent="0.2">
      <c r="B12" s="13" t="s">
        <v>23</v>
      </c>
      <c r="C12" s="41" t="s">
        <v>26</v>
      </c>
      <c r="D12" s="33">
        <v>140000</v>
      </c>
      <c r="E12" s="34" t="s">
        <v>37</v>
      </c>
      <c r="F12" s="33">
        <v>140000</v>
      </c>
      <c r="G12" s="35">
        <v>46049</v>
      </c>
      <c r="H12" s="34" t="s">
        <v>37</v>
      </c>
      <c r="I12" s="34" t="s">
        <v>37</v>
      </c>
      <c r="J12" s="14" t="s">
        <v>37</v>
      </c>
    </row>
    <row r="13" spans="2:10" s="2" customFormat="1" ht="16" customHeight="1" x14ac:dyDescent="0.2">
      <c r="B13" s="13" t="s">
        <v>39</v>
      </c>
      <c r="C13" s="41" t="s">
        <v>30</v>
      </c>
      <c r="D13" s="33">
        <v>83000</v>
      </c>
      <c r="E13" s="34" t="s">
        <v>37</v>
      </c>
      <c r="F13" s="33">
        <v>83000</v>
      </c>
      <c r="G13" s="45">
        <v>46049</v>
      </c>
      <c r="H13" s="34" t="s">
        <v>37</v>
      </c>
      <c r="I13" s="34" t="s">
        <v>37</v>
      </c>
      <c r="J13" s="14" t="s">
        <v>37</v>
      </c>
    </row>
    <row r="14" spans="2:10" s="2" customFormat="1" ht="16" customHeight="1" x14ac:dyDescent="0.2">
      <c r="B14" s="13" t="s">
        <v>23</v>
      </c>
      <c r="C14" s="41" t="s">
        <v>31</v>
      </c>
      <c r="D14" s="46">
        <v>20000</v>
      </c>
      <c r="E14" s="34" t="s">
        <v>37</v>
      </c>
      <c r="F14" s="33">
        <v>20000</v>
      </c>
      <c r="G14" s="35">
        <v>46043</v>
      </c>
      <c r="H14" s="34" t="s">
        <v>37</v>
      </c>
      <c r="I14" s="34" t="s">
        <v>37</v>
      </c>
      <c r="J14" s="14" t="s">
        <v>37</v>
      </c>
    </row>
    <row r="15" spans="2:10" s="2" customFormat="1" ht="16" customHeight="1" x14ac:dyDescent="0.2">
      <c r="B15" s="13" t="s">
        <v>23</v>
      </c>
      <c r="C15" s="41" t="s">
        <v>32</v>
      </c>
      <c r="D15" s="33">
        <v>43000</v>
      </c>
      <c r="E15" s="34" t="s">
        <v>37</v>
      </c>
      <c r="F15" s="33">
        <v>43000</v>
      </c>
      <c r="G15" s="45">
        <v>46037</v>
      </c>
      <c r="H15" s="34" t="s">
        <v>37</v>
      </c>
      <c r="I15" s="34" t="s">
        <v>37</v>
      </c>
      <c r="J15" s="14" t="s">
        <v>37</v>
      </c>
    </row>
    <row r="16" spans="2:10" s="2" customFormat="1" ht="16" customHeight="1" x14ac:dyDescent="0.2">
      <c r="B16" s="13" t="s">
        <v>23</v>
      </c>
      <c r="C16" s="41" t="s">
        <v>33</v>
      </c>
      <c r="D16" s="33">
        <v>28000</v>
      </c>
      <c r="E16" s="34" t="s">
        <v>37</v>
      </c>
      <c r="F16" s="33">
        <v>28000</v>
      </c>
      <c r="G16" s="35">
        <v>46043</v>
      </c>
      <c r="H16" s="34" t="s">
        <v>37</v>
      </c>
      <c r="I16" s="34" t="s">
        <v>37</v>
      </c>
      <c r="J16" s="14" t="s">
        <v>37</v>
      </c>
    </row>
    <row r="17" spans="2:10" s="2" customFormat="1" ht="16" customHeight="1" x14ac:dyDescent="0.2">
      <c r="B17" s="13" t="s">
        <v>23</v>
      </c>
      <c r="C17" s="41" t="s">
        <v>34</v>
      </c>
      <c r="D17" s="33">
        <v>25000</v>
      </c>
      <c r="E17" s="34" t="s">
        <v>37</v>
      </c>
      <c r="F17" s="33">
        <v>25000</v>
      </c>
      <c r="G17" s="35">
        <v>46048</v>
      </c>
      <c r="H17" s="34" t="s">
        <v>37</v>
      </c>
      <c r="I17" s="34" t="s">
        <v>37</v>
      </c>
      <c r="J17" s="14" t="s">
        <v>37</v>
      </c>
    </row>
    <row r="18" spans="2:10" s="2" customFormat="1" ht="16" customHeight="1" x14ac:dyDescent="0.2">
      <c r="B18" s="13" t="s">
        <v>23</v>
      </c>
      <c r="C18" s="41" t="s">
        <v>35</v>
      </c>
      <c r="D18" s="33">
        <v>7000</v>
      </c>
      <c r="E18" s="34" t="s">
        <v>37</v>
      </c>
      <c r="F18" s="33">
        <v>7000</v>
      </c>
      <c r="G18" s="35">
        <v>46043</v>
      </c>
      <c r="H18" s="34" t="s">
        <v>37</v>
      </c>
      <c r="I18" s="34" t="s">
        <v>37</v>
      </c>
      <c r="J18" s="14" t="s">
        <v>37</v>
      </c>
    </row>
    <row r="19" spans="2:10" s="2" customFormat="1" ht="16" customHeight="1" x14ac:dyDescent="0.2">
      <c r="B19" s="13" t="s">
        <v>23</v>
      </c>
      <c r="C19" s="41" t="s">
        <v>27</v>
      </c>
      <c r="D19" s="33">
        <v>10000</v>
      </c>
      <c r="E19" s="34" t="s">
        <v>37</v>
      </c>
      <c r="F19" s="33">
        <v>10000</v>
      </c>
      <c r="G19" s="35">
        <v>46048</v>
      </c>
      <c r="H19" s="34" t="s">
        <v>37</v>
      </c>
      <c r="I19" s="34" t="s">
        <v>37</v>
      </c>
      <c r="J19" s="14" t="s">
        <v>37</v>
      </c>
    </row>
    <row r="20" spans="2:10" s="2" customFormat="1" ht="16" customHeight="1" x14ac:dyDescent="0.2">
      <c r="B20" s="13" t="s">
        <v>23</v>
      </c>
      <c r="C20" s="41" t="s">
        <v>36</v>
      </c>
      <c r="D20" s="33">
        <v>14000</v>
      </c>
      <c r="E20" s="34" t="s">
        <v>37</v>
      </c>
      <c r="F20" s="33">
        <v>14000</v>
      </c>
      <c r="G20" s="35">
        <v>46043</v>
      </c>
      <c r="H20" s="34" t="s">
        <v>37</v>
      </c>
      <c r="I20" s="34" t="s">
        <v>37</v>
      </c>
      <c r="J20" s="14" t="s">
        <v>37</v>
      </c>
    </row>
    <row r="21" spans="2:10" s="2" customFormat="1" ht="16" customHeight="1" x14ac:dyDescent="0.2">
      <c r="B21" s="13" t="s">
        <v>23</v>
      </c>
      <c r="C21" s="41" t="s">
        <v>24</v>
      </c>
      <c r="D21" s="33">
        <v>10000</v>
      </c>
      <c r="E21" s="34" t="s">
        <v>37</v>
      </c>
      <c r="F21" s="33">
        <v>10000</v>
      </c>
      <c r="G21" s="35">
        <v>45673</v>
      </c>
      <c r="H21" s="34" t="s">
        <v>37</v>
      </c>
      <c r="I21" s="34" t="s">
        <v>37</v>
      </c>
      <c r="J21" s="14" t="s">
        <v>37</v>
      </c>
    </row>
    <row r="22" spans="2:10" s="2" customFormat="1" ht="16" customHeight="1" x14ac:dyDescent="0.2">
      <c r="B22" s="13" t="s">
        <v>23</v>
      </c>
      <c r="C22" s="41" t="s">
        <v>38</v>
      </c>
      <c r="D22" s="33">
        <v>20000</v>
      </c>
      <c r="E22" s="34" t="s">
        <v>37</v>
      </c>
      <c r="F22" s="33">
        <v>20000</v>
      </c>
      <c r="G22" s="35">
        <v>46049</v>
      </c>
      <c r="H22" s="34" t="s">
        <v>37</v>
      </c>
      <c r="I22" s="34" t="s">
        <v>37</v>
      </c>
      <c r="J22" s="14" t="s">
        <v>37</v>
      </c>
    </row>
    <row r="23" spans="2:10" s="2" customFormat="1" ht="16" customHeight="1" x14ac:dyDescent="0.2">
      <c r="B23" s="13"/>
      <c r="C23" s="41"/>
      <c r="D23" s="33"/>
      <c r="E23" s="36"/>
      <c r="F23" s="33"/>
      <c r="G23" s="35"/>
      <c r="H23" s="36"/>
      <c r="I23" s="36"/>
      <c r="J23" s="14"/>
    </row>
    <row r="24" spans="2:10" s="2" customFormat="1" ht="16" customHeight="1" x14ac:dyDescent="0.2">
      <c r="B24" s="13"/>
      <c r="C24" s="41"/>
      <c r="D24" s="33"/>
      <c r="E24" s="36"/>
      <c r="F24" s="33"/>
      <c r="G24" s="45"/>
      <c r="H24" s="36"/>
      <c r="I24" s="36"/>
      <c r="J24" s="14"/>
    </row>
    <row r="25" spans="2:10" s="2" customFormat="1" ht="16" customHeight="1" x14ac:dyDescent="0.2">
      <c r="B25" s="13"/>
      <c r="C25" s="41"/>
      <c r="D25" s="33"/>
      <c r="E25" s="36"/>
      <c r="F25" s="33"/>
      <c r="G25" s="35"/>
      <c r="H25" s="36"/>
      <c r="I25" s="36"/>
      <c r="J25" s="14"/>
    </row>
    <row r="26" spans="2:10" s="2" customFormat="1" ht="16" customHeight="1" x14ac:dyDescent="0.2">
      <c r="B26" s="13"/>
      <c r="C26" s="41"/>
      <c r="D26" s="33"/>
      <c r="E26" s="36"/>
      <c r="F26" s="33"/>
      <c r="G26" s="35"/>
      <c r="H26" s="36"/>
      <c r="I26" s="36"/>
      <c r="J26" s="14"/>
    </row>
    <row r="27" spans="2:10" s="2" customFormat="1" ht="16" customHeight="1" x14ac:dyDescent="0.2">
      <c r="B27" s="13"/>
      <c r="C27" s="41"/>
      <c r="D27" s="33"/>
      <c r="E27" s="36"/>
      <c r="F27" s="33"/>
      <c r="G27" s="35"/>
      <c r="H27" s="36"/>
      <c r="I27" s="36"/>
      <c r="J27" s="14"/>
    </row>
    <row r="28" spans="2:10" s="2" customFormat="1" ht="16" customHeight="1" x14ac:dyDescent="0.2">
      <c r="B28" s="13"/>
      <c r="C28" s="41"/>
      <c r="D28" s="33"/>
      <c r="E28" s="36"/>
      <c r="F28" s="33"/>
      <c r="G28" s="35"/>
      <c r="H28" s="36"/>
      <c r="I28" s="36"/>
      <c r="J28" s="14"/>
    </row>
    <row r="29" spans="2:10" s="2" customFormat="1" ht="16" customHeight="1" x14ac:dyDescent="0.2">
      <c r="B29" s="13"/>
      <c r="C29" s="41"/>
      <c r="D29" s="33"/>
      <c r="E29" s="36"/>
      <c r="F29" s="33"/>
      <c r="G29" s="35"/>
      <c r="H29" s="36"/>
      <c r="I29" s="36"/>
      <c r="J29" s="14"/>
    </row>
    <row r="30" spans="2:10" s="2" customFormat="1" ht="16" customHeight="1" x14ac:dyDescent="0.2">
      <c r="B30" s="13"/>
      <c r="C30" s="41"/>
      <c r="D30" s="33"/>
      <c r="E30" s="36"/>
      <c r="F30" s="33"/>
      <c r="G30" s="35"/>
      <c r="H30" s="36"/>
      <c r="I30" s="36"/>
      <c r="J30" s="14"/>
    </row>
    <row r="31" spans="2:10" s="2" customFormat="1" ht="16" customHeight="1" x14ac:dyDescent="0.2">
      <c r="B31" s="13"/>
      <c r="C31" s="41"/>
      <c r="D31" s="33"/>
      <c r="E31" s="36"/>
      <c r="F31" s="33"/>
      <c r="G31" s="35"/>
      <c r="H31" s="36"/>
      <c r="I31" s="36"/>
      <c r="J31" s="14"/>
    </row>
    <row r="32" spans="2:10" s="2" customFormat="1" ht="16" customHeight="1" x14ac:dyDescent="0.2">
      <c r="B32" s="13"/>
      <c r="C32" s="32"/>
      <c r="D32" s="33"/>
      <c r="E32" s="36"/>
      <c r="F32" s="33"/>
      <c r="G32" s="35"/>
      <c r="H32" s="36"/>
      <c r="I32" s="36"/>
      <c r="J32" s="14"/>
    </row>
    <row r="33" spans="2:10" s="2" customFormat="1" ht="16" customHeight="1" x14ac:dyDescent="0.2">
      <c r="B33" s="13"/>
      <c r="C33" s="32"/>
      <c r="D33" s="33"/>
      <c r="E33" s="36"/>
      <c r="F33" s="33"/>
      <c r="G33" s="35"/>
      <c r="H33" s="36"/>
      <c r="I33" s="36"/>
      <c r="J33" s="14"/>
    </row>
    <row r="34" spans="2:10" s="2" customFormat="1" ht="16" customHeight="1" x14ac:dyDescent="0.2">
      <c r="B34" s="13"/>
      <c r="C34" s="32"/>
      <c r="D34" s="33"/>
      <c r="E34" s="36"/>
      <c r="F34" s="33"/>
      <c r="G34" s="35"/>
      <c r="H34" s="36"/>
      <c r="I34" s="36"/>
      <c r="J34" s="14"/>
    </row>
    <row r="35" spans="2:10" s="2" customFormat="1" ht="16" customHeight="1" x14ac:dyDescent="0.2">
      <c r="B35" s="13"/>
      <c r="C35" s="32"/>
      <c r="D35" s="33"/>
      <c r="E35" s="36"/>
      <c r="F35" s="33"/>
      <c r="G35" s="35"/>
      <c r="H35" s="36"/>
      <c r="I35" s="36"/>
      <c r="J35" s="14"/>
    </row>
    <row r="36" spans="2:10" s="2" customFormat="1" ht="16" customHeight="1" thickBot="1" x14ac:dyDescent="0.25">
      <c r="B36" s="37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6 H11:J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21D4FC-2190-47BC-8607-FD49A50F4A1E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c73c546d-5213-4354-8753-20c3f93ccee9"/>
    <ds:schemaRef ds:uri="400ac3ce-c123-42d0-bfaf-41f6bbf712c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FB00BB0-D873-4AB9-B1F1-A8B9BE6C5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XS3156939269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2026-02-11T07:40:09Z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