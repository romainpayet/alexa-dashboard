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1. Edenred Phoenix Février 26/"/>
    </mc:Choice>
  </mc:AlternateContent>
  <xr:revisionPtr revIDLastSave="60" documentId="13_ncr:1_{F219D58C-7C79-A04A-9815-5D10B3DF894D}" xr6:coauthVersionLast="47" xr6:coauthVersionMax="47" xr10:uidLastSave="{E84038CE-DB0F-354F-A886-045E54C40D96}"/>
  <bookViews>
    <workbookView xWindow="0" yWindow="780" windowWidth="29400" windowHeight="17260" xr2:uid="{EE1CEB3C-BF88-4539-9AD6-83DF8278D958}"/>
  </bookViews>
  <sheets>
    <sheet name="XS325612258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 l="1"/>
  <c r="G3" i="1" s="1"/>
  <c r="F6" i="1" l="1"/>
  <c r="B9" i="1"/>
</calcChain>
</file>

<file path=xl/sharedStrings.xml><?xml version="1.0" encoding="utf-8"?>
<sst xmlns="http://schemas.openxmlformats.org/spreadsheetml/2006/main" count="57" uniqueCount="34">
  <si>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</si>
  <si>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</si>
  <si>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</si>
  <si>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</si>
  <si>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</si>
  <si>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</si>
  <si>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</si>
  <si>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</si>
  <si>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</si>
  <si>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</si>
  <si>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</si>
  <si>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</si>
  <si>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</si>
  <si>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</si>
  <si>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</si>
  <si>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</si>
  <si>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</si>
  <si>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</si>
  <si>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</si>
  <si>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</si>
  <si>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</si>
  <si>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</si>
  <si>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</si>
  <si>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</si>
  <si>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XS3256122584</t>
  </si>
  <si>
    <t>NexAutocall Alexa Rendement Edenred Decrement 1 EUR Février 2026</t>
  </si>
  <si>
    <t xml:space="preserve">GMS Investissement </t>
  </si>
  <si>
    <t>Laurent Réglat</t>
  </si>
  <si>
    <t>Monteil Sophie</t>
  </si>
  <si>
    <t>FAS LOMBARD</t>
  </si>
  <si>
    <t>Payet Romain</t>
  </si>
  <si>
    <t>Franck Dupouy</t>
  </si>
  <si>
    <t>Alexandre Ghizzardi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</si>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</sst>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F11" sqref="F11:F16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24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25</v>
      </c>
      <c r="E3" s="24" t="s">
        <v>16</v>
      </c>
      <c r="F3" s="28">
        <f>500000</f>
        <v>500000</v>
      </c>
      <c r="G3" s="41">
        <f>F5-F3</f>
        <v>-20000</v>
      </c>
    </row>
    <row r="4" spans="2:10" s="2" customFormat="1" ht="16" customHeight="1" x14ac:dyDescent="0.2">
      <c r="B4" s="4" t="s">
        <v>0</v>
      </c>
      <c r="C4" s="7">
        <v>46080</v>
      </c>
      <c r="E4" s="24" t="s">
        <v>8</v>
      </c>
      <c r="F4" s="29">
        <f>SUM(D11:D36)</f>
        <v>500000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480000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0.11799999999999999</v>
      </c>
      <c r="E6" s="26" t="s">
        <v>11</v>
      </c>
      <c r="F6" s="31">
        <f>F5</f>
        <v>480000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540000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Edenred Decrement 1 EUR Février 2026 Code ISIN XS3256122584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26</v>
      </c>
      <c r="D11" s="33">
        <v>225000</v>
      </c>
      <c r="E11" s="34" t="s">
        <v>33</v>
      </c>
      <c r="F11" s="33">
        <v>200000</v>
      </c>
      <c r="G11" s="35">
        <v>46066</v>
      </c>
      <c r="H11" s="34" t="s">
        <v>33</v>
      </c>
      <c r="I11" s="34" t="s">
        <v>33</v>
      </c>
      <c r="J11" s="14"/>
    </row>
    <row r="12" spans="2:10" s="2" customFormat="1" ht="16" customHeight="1" x14ac:dyDescent="0.2">
      <c r="B12" s="13" t="s">
        <v>29</v>
      </c>
      <c r="C12" s="42" t="s">
        <v>27</v>
      </c>
      <c r="D12" s="33">
        <v>55000</v>
      </c>
      <c r="E12" s="34" t="s">
        <v>33</v>
      </c>
      <c r="F12" s="33">
        <v>55000</v>
      </c>
      <c r="G12" s="35">
        <v>46078</v>
      </c>
      <c r="H12" s="34" t="s">
        <v>33</v>
      </c>
      <c r="I12" s="34" t="s">
        <v>33</v>
      </c>
      <c r="J12" s="14"/>
    </row>
    <row r="13" spans="2:10" s="2" customFormat="1" ht="16" customHeight="1" x14ac:dyDescent="0.2">
      <c r="B13" s="13" t="s">
        <v>29</v>
      </c>
      <c r="C13" s="42" t="s">
        <v>28</v>
      </c>
      <c r="D13" s="33">
        <v>105000</v>
      </c>
      <c r="E13" s="34" t="s">
        <v>33</v>
      </c>
      <c r="F13" s="33">
        <v>105000</v>
      </c>
      <c r="G13" s="35">
        <v>46070</v>
      </c>
      <c r="H13" s="34" t="s">
        <v>33</v>
      </c>
      <c r="I13" s="34" t="s">
        <v>33</v>
      </c>
      <c r="J13" s="14"/>
    </row>
    <row r="14" spans="2:10" s="2" customFormat="1" ht="16" customHeight="1" x14ac:dyDescent="0.2">
      <c r="B14" s="13" t="s">
        <v>23</v>
      </c>
      <c r="C14" s="42" t="s">
        <v>31</v>
      </c>
      <c r="D14" s="33">
        <v>50000</v>
      </c>
      <c r="E14" s="34" t="s">
        <v>33</v>
      </c>
      <c r="F14" s="33">
        <v>50000</v>
      </c>
      <c r="G14" s="35">
        <v>46079</v>
      </c>
      <c r="H14" s="34" t="s">
        <v>33</v>
      </c>
      <c r="I14" s="34" t="s">
        <v>33</v>
      </c>
      <c r="J14" s="14"/>
    </row>
    <row r="15" spans="2:10" s="2" customFormat="1" ht="16" customHeight="1" x14ac:dyDescent="0.2">
      <c r="B15" s="13" t="s">
        <v>23</v>
      </c>
      <c r="C15" s="42" t="s">
        <v>30</v>
      </c>
      <c r="D15" s="33">
        <v>45000</v>
      </c>
      <c r="E15" s="34" t="s">
        <v>33</v>
      </c>
      <c r="F15" s="33">
        <v>45000</v>
      </c>
      <c r="G15" s="35">
        <v>46076</v>
      </c>
      <c r="H15" s="34" t="s">
        <v>33</v>
      </c>
      <c r="I15" s="34" t="s">
        <v>33</v>
      </c>
      <c r="J15" s="14"/>
    </row>
    <row r="16" spans="2:10" s="2" customFormat="1" ht="16" customHeight="1" x14ac:dyDescent="0.2">
      <c r="B16" s="13" t="s">
        <v>23</v>
      </c>
      <c r="C16" s="42" t="s">
        <v>32</v>
      </c>
      <c r="D16" s="33">
        <v>20000</v>
      </c>
      <c r="E16" s="34" t="s">
        <v>33</v>
      </c>
      <c r="F16" s="33">
        <v>25000</v>
      </c>
      <c r="G16" s="35">
        <v>46063</v>
      </c>
      <c r="H16" s="34" t="s">
        <v>33</v>
      </c>
      <c r="I16" s="34" t="s">
        <v>33</v>
      </c>
      <c r="J16" s="14"/>
    </row>
    <row r="17" spans="2:10" s="2" customFormat="1" ht="16" customHeight="1" x14ac:dyDescent="0.2">
      <c r="B17" s="13"/>
      <c r="C17" s="42"/>
      <c r="D17" s="33"/>
      <c r="E17" s="34"/>
      <c r="F17" s="33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3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schemas.microsoft.com/office/2006/documentManagement/types"/>
    <ds:schemaRef ds:uri="c73c546d-5213-4354-8753-20c3f93ccee9"/>
    <ds:schemaRef ds:uri="http://www.w3.org/XML/1998/namespace"/>
    <ds:schemaRef ds:uri="http://schemas.microsoft.com/office/2006/metadata/properties"/>
    <ds:schemaRef ds:uri="400ac3ce-c123-42d0-bfaf-41f6bbf712cc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XS3256122584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2026-03-02T17:25:12Z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