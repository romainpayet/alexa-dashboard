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4. Crédit Agricole Octobre 25/"/>
    </mc:Choice>
  </mc:AlternateContent>
  <xr:revisionPtr revIDLastSave="3" documentId="8_{50209C8D-A0D5-2D4E-8A32-6289F40B2869}" xr6:coauthVersionLast="47" xr6:coauthVersionMax="47" xr10:uidLastSave="{91433483-A7C5-D94D-86C2-EB6EB8AE4E12}"/>
  <bookViews>
    <workbookView xWindow="0" yWindow="500" windowWidth="34200" windowHeight="21100" xr2:uid="{EE1CEB3C-BF88-4539-9AD6-83DF8278D958}"/>
  </bookViews>
  <sheets>
    <sheet name="XS3103320035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l="1"/>
  <c r="B9" i="1"/>
</calcChain>
</file>

<file path=xl/sharedStrings.xml><?xml version="1.0" encoding="utf-8"?>
<sst xmlns="http://schemas.openxmlformats.org/spreadsheetml/2006/main" count="104" uniqueCount="39">
  <si>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</si>
  <si>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</si>
  <si>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</si>
  <si>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</si>
  <si>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</si>
  <si>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</si>
  <si>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</si>
  <si>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</si>
  <si>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</si>
  <si>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</si>
  <si>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</si>
  <si>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</si>
  <si>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</si>
  <si>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Partenaire</t>
  </si>
  <si>
    <t>Versement Réel</t>
  </si>
  <si>
    <t>TOTAL Enveloppe</t>
  </si>
  <si>
    <t>Nom / Prénom / Entité du client</t>
  </si>
  <si>
    <t>Hubert Bousquet</t>
  </si>
  <si>
    <t>M&amp;Mme Frotier de Bagneux</t>
  </si>
  <si>
    <t>Alexandre GHIZZARDI</t>
  </si>
  <si>
    <t>SAS Biscay</t>
  </si>
  <si>
    <t>SPFPL Biscay</t>
  </si>
  <si>
    <t>Charlie Verbruggen</t>
  </si>
  <si>
    <t>CTO NORTIA</t>
  </si>
  <si>
    <t xml:space="preserve">XS3103320035 </t>
  </si>
  <si>
    <t>NEXO</t>
  </si>
  <si>
    <t>Alexa Rendement FTSE Credit Agricole Decrement 1.10 EUR Octobre 2025</t>
  </si>
  <si>
    <t>Laura Payet</t>
  </si>
  <si>
    <t>Alain PAYET</t>
  </si>
  <si>
    <t>SELARL Du Docteur Agathe BRES</t>
  </si>
  <si>
    <t>Pierre Thoueilles</t>
  </si>
  <si>
    <t>COQUITE</t>
  </si>
  <si>
    <t xml:space="preserve"> DDA envoyé ? </t>
  </si>
  <si>
    <t xml:space="preserve"> DDA signé ? </t>
  </si>
  <si>
    <t>Frais ok ?</t>
  </si>
  <si>
    <t>OUI</t>
  </si>
  <si>
    <t>Phoenix</t>
  </si>
  <si>
    <t>Colombini Michele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</si>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</sst>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9" fontId="4" fillId="3" borderId="19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8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7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7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65" fontId="3" fillId="3" borderId="27" xfId="0" applyNumberFormat="1" applyFont="1" applyFill="1" applyBorder="1" applyAlignment="1">
      <alignment horizontal="center" vertical="center" wrapText="1"/>
    </xf>
    <xf numFmtId="164" fontId="9" fillId="5" borderId="8" xfId="0" applyNumberFormat="1" applyFont="1" applyFill="1" applyBorder="1" applyAlignment="1">
      <alignment horizontal="center" vertical="center" wrapText="1"/>
    </xf>
    <xf numFmtId="164" fontId="9" fillId="5" borderId="6" xfId="0" applyNumberFormat="1" applyFont="1" applyFill="1" applyBorder="1" applyAlignment="1">
      <alignment horizontal="center" vertical="center" wrapText="1"/>
    </xf>
    <xf numFmtId="164" fontId="10" fillId="6" borderId="0" xfId="0" applyNumberFormat="1" applyFont="1" applyFill="1" applyAlignment="1">
      <alignment horizontal="center" vertical="center" wrapText="1"/>
    </xf>
    <xf numFmtId="14" fontId="10" fillId="6" borderId="2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14" fontId="10" fillId="6" borderId="4" xfId="0" applyNumberFormat="1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1"/>
  <sheetViews>
    <sheetView showGridLines="0" tabSelected="1" zoomScale="113" zoomScaleNormal="140" workbookViewId="0">
      <selection activeCell="I14" sqref="I14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56.1640625" style="1" bestFit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7" t="s">
        <v>1</v>
      </c>
      <c r="C2" s="8" t="s">
        <v>24</v>
      </c>
      <c r="E2" s="3"/>
      <c r="F2" s="26" t="s">
        <v>12</v>
      </c>
    </row>
    <row r="3" spans="2:10" s="2" customFormat="1" ht="16" customHeight="1" thickBot="1" x14ac:dyDescent="0.25">
      <c r="B3" s="4" t="s">
        <v>2</v>
      </c>
      <c r="C3" s="9" t="s">
        <v>26</v>
      </c>
      <c r="E3" s="23" t="s">
        <v>15</v>
      </c>
      <c r="F3" s="27">
        <v>458000</v>
      </c>
      <c r="H3" s="47"/>
    </row>
    <row r="4" spans="2:10" s="2" customFormat="1" ht="16" customHeight="1" x14ac:dyDescent="0.2">
      <c r="B4" s="4" t="s">
        <v>0</v>
      </c>
      <c r="C4" s="10">
        <v>45945</v>
      </c>
      <c r="E4" s="23" t="s">
        <v>8</v>
      </c>
      <c r="F4" s="28">
        <f>SUM(D11:D30)</f>
        <v>458000</v>
      </c>
      <c r="G4" s="20" t="s">
        <v>38</v>
      </c>
    </row>
    <row r="5" spans="2:10" s="2" customFormat="1" ht="16" customHeight="1" x14ac:dyDescent="0.2">
      <c r="B5" s="4" t="s">
        <v>13</v>
      </c>
      <c r="C5" s="10" t="s">
        <v>25</v>
      </c>
      <c r="E5" s="24" t="s">
        <v>9</v>
      </c>
      <c r="F5" s="29">
        <f>SUM(F11:F30)</f>
        <v>458000</v>
      </c>
      <c r="G5" s="21" t="s">
        <v>38</v>
      </c>
    </row>
    <row r="6" spans="2:10" s="2" customFormat="1" ht="16" customHeight="1" thickBot="1" x14ac:dyDescent="0.25">
      <c r="B6" s="4" t="s">
        <v>3</v>
      </c>
      <c r="C6" s="5">
        <v>0.12</v>
      </c>
      <c r="E6" s="25" t="s">
        <v>11</v>
      </c>
      <c r="F6" s="30">
        <f>F5</f>
        <v>458000</v>
      </c>
      <c r="G6" s="22" t="s">
        <v>38</v>
      </c>
    </row>
    <row r="7" spans="2:10" s="2" customFormat="1" ht="16" customHeight="1" thickBot="1" x14ac:dyDescent="0.25">
      <c r="B7" s="6" t="s">
        <v>10</v>
      </c>
      <c r="C7" s="11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8" t="str">
        <f>"Suivi des intentions de souscription et des sousciptions réelles du produit " &amp;C3 &amp;" Code ISIN " &amp;C2</f>
        <v xml:space="preserve">Suivi des intentions de souscription et des sousciptions réelles du produit Alexa Rendement FTSE Credit Agricole Decrement 1.10 EUR Octobre 2025 Code ISIN XS3103320035 </v>
      </c>
      <c r="C9" s="49"/>
      <c r="D9" s="49"/>
      <c r="E9" s="49"/>
      <c r="F9" s="49"/>
      <c r="G9" s="49"/>
      <c r="H9" s="49"/>
      <c r="I9" s="49"/>
      <c r="J9" s="50"/>
    </row>
    <row r="10" spans="2:10" s="2" customFormat="1" ht="28" customHeight="1" thickBot="1" x14ac:dyDescent="0.25">
      <c r="B10" s="12" t="s">
        <v>4</v>
      </c>
      <c r="C10" s="13" t="s">
        <v>16</v>
      </c>
      <c r="D10" s="13" t="s">
        <v>5</v>
      </c>
      <c r="E10" s="14" t="s">
        <v>6</v>
      </c>
      <c r="F10" s="14" t="s">
        <v>14</v>
      </c>
      <c r="G10" s="14" t="s">
        <v>7</v>
      </c>
      <c r="H10" s="40" t="s">
        <v>32</v>
      </c>
      <c r="I10" s="40" t="s">
        <v>33</v>
      </c>
      <c r="J10" s="41" t="s">
        <v>34</v>
      </c>
    </row>
    <row r="11" spans="2:10" s="2" customFormat="1" ht="16" customHeight="1" x14ac:dyDescent="0.2">
      <c r="B11" s="37" t="s">
        <v>23</v>
      </c>
      <c r="C11" s="38" t="s">
        <v>17</v>
      </c>
      <c r="D11" s="39">
        <v>55000</v>
      </c>
      <c r="E11" s="33" t="s">
        <v>35</v>
      </c>
      <c r="F11" s="32">
        <v>55000</v>
      </c>
      <c r="G11" s="34">
        <v>45919</v>
      </c>
      <c r="H11" s="42" t="s">
        <v>35</v>
      </c>
      <c r="I11" s="42" t="s">
        <v>35</v>
      </c>
      <c r="J11" s="43" t="s">
        <v>35</v>
      </c>
    </row>
    <row r="12" spans="2:10" s="2" customFormat="1" ht="16" customHeight="1" x14ac:dyDescent="0.2">
      <c r="B12" s="15" t="s">
        <v>23</v>
      </c>
      <c r="C12" s="31" t="s">
        <v>18</v>
      </c>
      <c r="D12" s="32">
        <v>24000</v>
      </c>
      <c r="E12" s="33" t="s">
        <v>35</v>
      </c>
      <c r="F12" s="32">
        <v>24000</v>
      </c>
      <c r="G12" s="34">
        <v>45916</v>
      </c>
      <c r="H12" s="42" t="s">
        <v>35</v>
      </c>
      <c r="I12" s="42" t="s">
        <v>35</v>
      </c>
      <c r="J12" s="43" t="s">
        <v>35</v>
      </c>
    </row>
    <row r="13" spans="2:10" s="2" customFormat="1" ht="16" customHeight="1" x14ac:dyDescent="0.2">
      <c r="B13" s="15" t="s">
        <v>23</v>
      </c>
      <c r="C13" s="31" t="s">
        <v>19</v>
      </c>
      <c r="D13" s="32">
        <v>20000</v>
      </c>
      <c r="E13" s="33" t="s">
        <v>35</v>
      </c>
      <c r="F13" s="32">
        <v>20000</v>
      </c>
      <c r="G13" s="34">
        <v>45913</v>
      </c>
      <c r="H13" s="42" t="s">
        <v>35</v>
      </c>
      <c r="I13" s="42" t="s">
        <v>35</v>
      </c>
      <c r="J13" s="43" t="s">
        <v>35</v>
      </c>
    </row>
    <row r="14" spans="2:10" s="2" customFormat="1" ht="16" customHeight="1" x14ac:dyDescent="0.2">
      <c r="B14" s="15" t="s">
        <v>23</v>
      </c>
      <c r="C14" s="31" t="s">
        <v>31</v>
      </c>
      <c r="D14" s="32">
        <v>50000</v>
      </c>
      <c r="E14" s="33" t="s">
        <v>35</v>
      </c>
      <c r="F14" s="32">
        <v>50000</v>
      </c>
      <c r="G14" s="34">
        <v>45936</v>
      </c>
      <c r="H14" s="42" t="s">
        <v>35</v>
      </c>
      <c r="I14" s="42" t="s">
        <v>35</v>
      </c>
      <c r="J14" s="43" t="s">
        <v>35</v>
      </c>
    </row>
    <row r="15" spans="2:10" s="2" customFormat="1" ht="16" customHeight="1" x14ac:dyDescent="0.2">
      <c r="B15" s="15" t="s">
        <v>23</v>
      </c>
      <c r="C15" s="31" t="s">
        <v>30</v>
      </c>
      <c r="D15" s="32">
        <v>50000</v>
      </c>
      <c r="E15" s="33" t="s">
        <v>35</v>
      </c>
      <c r="F15" s="32">
        <v>50000</v>
      </c>
      <c r="G15" s="34">
        <v>45936</v>
      </c>
      <c r="H15" s="42" t="s">
        <v>35</v>
      </c>
      <c r="I15" s="42" t="s">
        <v>35</v>
      </c>
      <c r="J15" s="43" t="s">
        <v>35</v>
      </c>
    </row>
    <row r="16" spans="2:10" s="2" customFormat="1" ht="16" customHeight="1" x14ac:dyDescent="0.2">
      <c r="B16" s="15" t="s">
        <v>23</v>
      </c>
      <c r="C16" s="31" t="s">
        <v>29</v>
      </c>
      <c r="D16" s="32">
        <v>54000</v>
      </c>
      <c r="E16" s="33" t="s">
        <v>35</v>
      </c>
      <c r="F16" s="32">
        <v>54000</v>
      </c>
      <c r="G16" s="34">
        <v>45933</v>
      </c>
      <c r="H16" s="42" t="s">
        <v>35</v>
      </c>
      <c r="I16" s="42" t="s">
        <v>35</v>
      </c>
      <c r="J16" s="43" t="s">
        <v>35</v>
      </c>
    </row>
    <row r="17" spans="2:10" s="2" customFormat="1" ht="16" customHeight="1" x14ac:dyDescent="0.2">
      <c r="B17" s="15" t="s">
        <v>23</v>
      </c>
      <c r="C17" s="31" t="s">
        <v>28</v>
      </c>
      <c r="D17" s="32">
        <v>50000</v>
      </c>
      <c r="E17" s="33" t="s">
        <v>35</v>
      </c>
      <c r="F17" s="32">
        <v>50000</v>
      </c>
      <c r="G17" s="34">
        <v>45923</v>
      </c>
      <c r="H17" s="42" t="s">
        <v>35</v>
      </c>
      <c r="I17" s="42" t="s">
        <v>35</v>
      </c>
      <c r="J17" s="43" t="s">
        <v>35</v>
      </c>
    </row>
    <row r="18" spans="2:10" s="2" customFormat="1" ht="16" customHeight="1" x14ac:dyDescent="0.2">
      <c r="B18" s="15" t="s">
        <v>23</v>
      </c>
      <c r="C18" s="31" t="s">
        <v>20</v>
      </c>
      <c r="D18" s="32">
        <v>25000</v>
      </c>
      <c r="E18" s="33" t="s">
        <v>35</v>
      </c>
      <c r="F18" s="32">
        <v>25000</v>
      </c>
      <c r="G18" s="34">
        <v>45916</v>
      </c>
      <c r="H18" s="42" t="s">
        <v>35</v>
      </c>
      <c r="I18" s="42" t="s">
        <v>35</v>
      </c>
      <c r="J18" s="43" t="s">
        <v>35</v>
      </c>
    </row>
    <row r="19" spans="2:10" s="2" customFormat="1" ht="16" customHeight="1" x14ac:dyDescent="0.2">
      <c r="B19" s="15" t="s">
        <v>23</v>
      </c>
      <c r="C19" s="31" t="s">
        <v>21</v>
      </c>
      <c r="D19" s="32">
        <v>21000</v>
      </c>
      <c r="E19" s="33" t="s">
        <v>35</v>
      </c>
      <c r="F19" s="32">
        <v>21000</v>
      </c>
      <c r="G19" s="34">
        <v>45916</v>
      </c>
      <c r="H19" s="42" t="s">
        <v>35</v>
      </c>
      <c r="I19" s="42" t="s">
        <v>35</v>
      </c>
      <c r="J19" s="43" t="s">
        <v>35</v>
      </c>
    </row>
    <row r="20" spans="2:10" s="2" customFormat="1" ht="16" customHeight="1" x14ac:dyDescent="0.2">
      <c r="B20" s="15" t="s">
        <v>23</v>
      </c>
      <c r="C20" s="31" t="s">
        <v>22</v>
      </c>
      <c r="D20" s="32">
        <v>50000</v>
      </c>
      <c r="E20" s="33" t="s">
        <v>35</v>
      </c>
      <c r="F20" s="32">
        <v>50000</v>
      </c>
      <c r="G20" s="34">
        <v>45930</v>
      </c>
      <c r="H20" s="42" t="s">
        <v>35</v>
      </c>
      <c r="I20" s="42" t="s">
        <v>35</v>
      </c>
      <c r="J20" s="43" t="s">
        <v>35</v>
      </c>
    </row>
    <row r="21" spans="2:10" s="2" customFormat="1" ht="16" customHeight="1" x14ac:dyDescent="0.2">
      <c r="B21" s="15" t="s">
        <v>23</v>
      </c>
      <c r="C21" s="31" t="s">
        <v>27</v>
      </c>
      <c r="D21" s="32">
        <v>25000</v>
      </c>
      <c r="E21" s="33" t="s">
        <v>35</v>
      </c>
      <c r="F21" s="32">
        <v>25000</v>
      </c>
      <c r="G21" s="34">
        <v>45923</v>
      </c>
      <c r="H21" s="42" t="s">
        <v>35</v>
      </c>
      <c r="I21" s="42" t="s">
        <v>35</v>
      </c>
      <c r="J21" s="43" t="s">
        <v>35</v>
      </c>
    </row>
    <row r="22" spans="2:10" s="2" customFormat="1" ht="16" customHeight="1" x14ac:dyDescent="0.2">
      <c r="B22" s="15" t="s">
        <v>23</v>
      </c>
      <c r="C22" s="31" t="s">
        <v>36</v>
      </c>
      <c r="D22" s="32">
        <v>25000</v>
      </c>
      <c r="E22" s="33" t="s">
        <v>35</v>
      </c>
      <c r="F22" s="32">
        <v>25000</v>
      </c>
      <c r="G22" s="34">
        <v>45933</v>
      </c>
      <c r="H22" s="42" t="s">
        <v>35</v>
      </c>
      <c r="I22" s="44" t="s">
        <v>35</v>
      </c>
      <c r="J22" s="43" t="s">
        <v>35</v>
      </c>
    </row>
    <row r="23" spans="2:10" s="2" customFormat="1" ht="16" customHeight="1" x14ac:dyDescent="0.2">
      <c r="B23" s="15" t="s">
        <v>23</v>
      </c>
      <c r="C23" s="31" t="s">
        <v>37</v>
      </c>
      <c r="D23" s="32">
        <v>9000</v>
      </c>
      <c r="E23" s="33" t="s">
        <v>35</v>
      </c>
      <c r="F23" s="32">
        <v>9000</v>
      </c>
      <c r="G23" s="34">
        <v>45931</v>
      </c>
      <c r="H23" s="44" t="s">
        <v>35</v>
      </c>
      <c r="I23" s="44" t="s">
        <v>35</v>
      </c>
      <c r="J23" s="43" t="s">
        <v>35</v>
      </c>
    </row>
    <row r="24" spans="2:10" s="2" customFormat="1" ht="16" customHeight="1" x14ac:dyDescent="0.2">
      <c r="B24" s="15"/>
      <c r="C24" s="31"/>
      <c r="D24" s="32"/>
      <c r="E24" s="35"/>
      <c r="F24" s="32"/>
      <c r="G24" s="34"/>
      <c r="H24" s="44"/>
      <c r="I24" s="44"/>
      <c r="J24" s="43"/>
    </row>
    <row r="25" spans="2:10" s="2" customFormat="1" ht="16" customHeight="1" x14ac:dyDescent="0.2">
      <c r="B25" s="15"/>
      <c r="C25" s="31"/>
      <c r="D25" s="32"/>
      <c r="E25" s="35"/>
      <c r="F25" s="32"/>
      <c r="G25" s="34"/>
      <c r="H25" s="44"/>
      <c r="I25" s="44"/>
      <c r="J25" s="43"/>
    </row>
    <row r="26" spans="2:10" s="2" customFormat="1" ht="16" customHeight="1" x14ac:dyDescent="0.2">
      <c r="B26" s="15"/>
      <c r="C26" s="31"/>
      <c r="D26" s="32"/>
      <c r="E26" s="35"/>
      <c r="F26" s="32"/>
      <c r="G26" s="34"/>
      <c r="H26" s="44"/>
      <c r="I26" s="44"/>
      <c r="J26" s="43"/>
    </row>
    <row r="27" spans="2:10" s="2" customFormat="1" ht="16" customHeight="1" x14ac:dyDescent="0.2">
      <c r="B27" s="15"/>
      <c r="C27" s="31"/>
      <c r="D27" s="32"/>
      <c r="E27" s="35"/>
      <c r="F27" s="32"/>
      <c r="G27" s="34"/>
      <c r="H27" s="44"/>
      <c r="I27" s="44"/>
      <c r="J27" s="43"/>
    </row>
    <row r="28" spans="2:10" s="2" customFormat="1" ht="16" customHeight="1" x14ac:dyDescent="0.2">
      <c r="B28" s="15"/>
      <c r="C28" s="31"/>
      <c r="D28" s="32"/>
      <c r="E28" s="35"/>
      <c r="F28" s="32"/>
      <c r="G28" s="34"/>
      <c r="H28" s="44"/>
      <c r="I28" s="44"/>
      <c r="J28" s="43"/>
    </row>
    <row r="29" spans="2:10" s="2" customFormat="1" ht="16" customHeight="1" x14ac:dyDescent="0.2">
      <c r="B29" s="15"/>
      <c r="C29" s="31"/>
      <c r="D29" s="32"/>
      <c r="E29" s="35"/>
      <c r="F29" s="32"/>
      <c r="G29" s="34"/>
      <c r="H29" s="44"/>
      <c r="I29" s="44"/>
      <c r="J29" s="43"/>
    </row>
    <row r="30" spans="2:10" s="2" customFormat="1" ht="16" customHeight="1" thickBot="1" x14ac:dyDescent="0.25">
      <c r="B30" s="36"/>
      <c r="C30" s="17"/>
      <c r="D30" s="18"/>
      <c r="E30" s="16"/>
      <c r="F30" s="18"/>
      <c r="G30" s="19"/>
      <c r="H30" s="45"/>
      <c r="I30" s="45"/>
      <c r="J30" s="46"/>
    </row>
    <row r="31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0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0 E11:E30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D28CF-2E3B-46B5-B71D-E071ECC3619C}">
  <ds:schemaRefs>
    <ds:schemaRef ds:uri="http://schemas.openxmlformats.org/package/2006/metadata/core-properties"/>
    <ds:schemaRef ds:uri="c73c546d-5213-4354-8753-20c3f93ccee9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400ac3ce-c123-42d0-bfaf-41f6bbf712c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39E418A-284B-4212-9EAB-949C4DD8B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4A414-6E79-4201-B11F-789EB28935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XS3103320035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2025-12-11T12:05:25Z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